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5" windowWidth="16095" windowHeight="9660"/>
  </bookViews>
  <sheets>
    <sheet name="Inputs" sheetId="1" r:id="rId1"/>
    <sheet name="Projection" sheetId="2" r:id="rId2"/>
    <sheet name="Summary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;[Red]($#,##0);&quot;-&quot;"/>
  </numFmts>
  <fonts count="5"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1F4E78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D9F2F2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2" fillId="3" borderId="0" xfId="0" applyNumberFormat="1" applyFont="1" applyFill="1"/>
    <xf numFmtId="164" fontId="2" fillId="3" borderId="0" xfId="0" applyNumberFormat="1" applyFont="1" applyFill="1"/>
    <xf numFmtId="10" fontId="2" fillId="3" borderId="0" xfId="0" applyNumberFormat="1" applyFont="1" applyFill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4" fontId="3" fillId="4" borderId="0" xfId="0" applyNumberFormat="1" applyFont="1" applyFill="1"/>
    <xf numFmtId="0" fontId="3" fillId="4" borderId="0" xfId="0" applyFont="1" applyFill="1"/>
    <xf numFmtId="3" fontId="3" fillId="5" borderId="0" xfId="0" applyNumberFormat="1" applyFont="1" applyFill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18"/>
  <sheetViews>
    <sheetView workbookViewId="0">
      <pane ySplit="3" topLeftCell="A4" activePane="bottomLeft" state="frozen"/>
    </sheetView>
  </sheetViews>
  <sheetFormatPr defaultRowHeight="15"/>
  <cols>
    <col min="1" max="1" width="16" customWidth="1"/>
    <col min="2" max="2" width="36" customWidth="1"/>
    <col min="3" max="3" width="18" customWidth="1"/>
    <col min="4" max="4" width="12" customWidth="1"/>
    <col min="5" max="5" width="72" customWidth="1"/>
  </cols>
  <sheetData>
    <row r="1">
      <c r="A1" t="inlineStr" s="11">
        <is>
          <t>Retirement Planner Inputs</t>
        </is>
      </c>
    </row>
    <row r="3">
      <c r="A3" t="inlineStr" s="1">
        <is>
          <t>Category</t>
        </is>
      </c>
      <c r="B3" t="inlineStr" s="1">
        <is>
          <t>Input</t>
        </is>
      </c>
      <c r="C3" t="inlineStr" s="1">
        <is>
          <t>Value</t>
        </is>
      </c>
      <c r="D3" t="inlineStr" s="1">
        <is>
          <t>Units</t>
        </is>
      </c>
      <c r="E3" t="inlineStr" s="1">
        <is>
          <t>Source URL</t>
        </is>
      </c>
    </row>
    <row r="4">
      <c r="A4" t="inlineStr" s="0">
        <is>
          <t>Personal</t>
        </is>
      </c>
      <c r="B4" t="inlineStr" s="0">
        <is>
          <t>Current Age</t>
        </is>
      </c>
      <c r="C4" s="2">
        <v>35</v>
      </c>
      <c r="D4" t="inlineStr" s="0">
        <is>
          <t>years</t>
        </is>
      </c>
      <c r="E4" t="inlineStr" s="0">
        <is>
          <t>https://www.investor.gov/financial-tools-calculators/calculators/compound-interest-calculator</t>
        </is>
      </c>
    </row>
    <row r="5">
      <c r="A5" t="inlineStr" s="0">
        <is>
          <t>Personal</t>
        </is>
      </c>
      <c r="B5" t="inlineStr" s="0">
        <is>
          <t>Retirement Age</t>
        </is>
      </c>
      <c r="C5" s="2">
        <v>65</v>
      </c>
      <c r="D5" t="inlineStr" s="0">
        <is>
          <t>years</t>
        </is>
      </c>
      <c r="E5" t="inlineStr" s="0">
        <is>
          <t>https://www.irs.gov/retirement-plans/plan-participant-employee/retirement-topics-catch-up-contributions</t>
        </is>
      </c>
    </row>
    <row r="6">
      <c r="A6" t="inlineStr" s="0">
        <is>
          <t>Personal</t>
        </is>
      </c>
      <c r="B6" t="inlineStr" s="0">
        <is>
          <t>Life Expectancy</t>
        </is>
      </c>
      <c r="C6" s="2">
        <v>92</v>
      </c>
      <c r="D6" t="inlineStr" s="0">
        <is>
          <t>years</t>
        </is>
      </c>
      <c r="E6" t="inlineStr" s="0">
        <is>
          <t>https://www.ssa.gov/oact/STATS/table4c6.html</t>
        </is>
      </c>
    </row>
    <row r="7">
      <c r="A7" t="inlineStr" s="0">
        <is>
          <t>Savings</t>
        </is>
      </c>
      <c r="B7" t="inlineStr" s="0">
        <is>
          <t>Current Retirement Savings</t>
        </is>
      </c>
      <c r="C7" s="3">
        <v>150000</v>
      </c>
      <c r="D7" t="inlineStr" s="0">
        <is>
          <t>$</t>
        </is>
      </c>
      <c r="E7" t="inlineStr" s="0">
        <is>
          <t>https://www.fidelity.com/viewpoints/retirement/how-much-do-i-need-to-retire</t>
        </is>
      </c>
    </row>
    <row r="8">
      <c r="A8" t="inlineStr" s="0">
        <is>
          <t>Savings</t>
        </is>
      </c>
      <c r="B8" t="inlineStr" s="0">
        <is>
          <t>Annual Contribution</t>
        </is>
      </c>
      <c r="C8" s="3">
        <v>18000</v>
      </c>
      <c r="D8" t="inlineStr" s="0">
        <is>
          <t>$/yr</t>
        </is>
      </c>
      <c r="E8" t="inlineStr" s="0">
        <is>
          <t>https://www.irs.gov/retirement-plans/plan-participant-employee/retirement-topics-ira-contribution-limits</t>
        </is>
      </c>
    </row>
    <row r="9">
      <c r="A9" t="inlineStr" s="0">
        <is>
          <t>Savings</t>
        </is>
      </c>
      <c r="B9" t="inlineStr" s="0">
        <is>
          <t>Contribution Growth Rate</t>
        </is>
      </c>
      <c r="C9" s="4">
        <v>0.03</v>
      </c>
      <c r="D9" t="inlineStr" s="0">
        <is>
          <t>%</t>
        </is>
      </c>
      <c r="E9" t="inlineStr" s="0">
        <is>
          <t>https://www.bls.gov/cpi/</t>
        </is>
      </c>
    </row>
    <row r="10">
      <c r="A10" t="inlineStr" s="0">
        <is>
          <t>Returns</t>
        </is>
      </c>
      <c r="B10" t="inlineStr" s="0">
        <is>
          <t>Pre-Retirement Return</t>
        </is>
      </c>
      <c r="C10" s="4">
        <v>0.065</v>
      </c>
      <c r="D10" t="inlineStr" s="0">
        <is>
          <t>%</t>
        </is>
      </c>
      <c r="E10" t="inlineStr" s="0">
        <is>
          <t>https://www.sec.gov/investor/alerts/ib_fees_expenses.pdf</t>
        </is>
      </c>
    </row>
    <row r="11">
      <c r="A11" t="inlineStr" s="0">
        <is>
          <t>Returns</t>
        </is>
      </c>
      <c r="B11" t="inlineStr" s="0">
        <is>
          <t>Post-Retirement Return</t>
        </is>
      </c>
      <c r="C11" s="4">
        <v>0.045</v>
      </c>
      <c r="D11" t="inlineStr" s="0">
        <is>
          <t>%</t>
        </is>
      </c>
      <c r="E11" t="inlineStr" s="0">
        <is>
          <t>https://www.sec.gov/investor/alerts/ib_fees_expenses.pdf</t>
        </is>
      </c>
    </row>
    <row r="12">
      <c r="A12" t="inlineStr" s="0">
        <is>
          <t>Spending</t>
        </is>
      </c>
      <c r="B12" t="inlineStr" s="0">
        <is>
          <t>Current Annual Spending</t>
        </is>
      </c>
      <c r="C12" s="3">
        <v>60000</v>
      </c>
      <c r="D12" t="inlineStr" s="0">
        <is>
          <t>$/yr</t>
        </is>
      </c>
      <c r="E12" t="inlineStr" s="0">
        <is>
          <t>https://www.bls.gov/cex/</t>
        </is>
      </c>
    </row>
    <row r="13">
      <c r="A13" t="inlineStr" s="0">
        <is>
          <t>Spending</t>
        </is>
      </c>
      <c r="B13" t="inlineStr" s="0">
        <is>
          <t>Inflation Rate</t>
        </is>
      </c>
      <c r="C13" s="4">
        <v>0.025</v>
      </c>
      <c r="D13" t="inlineStr" s="0">
        <is>
          <t>%</t>
        </is>
      </c>
      <c r="E13" t="inlineStr" s="0">
        <is>
          <t>https://www.bls.gov/cpi/</t>
        </is>
      </c>
    </row>
    <row r="14">
      <c r="A14" t="inlineStr" s="0">
        <is>
          <t>Income</t>
        </is>
      </c>
      <c r="B14" t="inlineStr" s="0">
        <is>
          <t>Expected Annual Social Security</t>
        </is>
      </c>
      <c r="C14" s="3">
        <v>30000</v>
      </c>
      <c r="D14" t="inlineStr" s="0">
        <is>
          <t>$/yr</t>
        </is>
      </c>
      <c r="E14" t="inlineStr" s="0">
        <is>
          <t>https://www.ssa.gov/benefits/retirement/planner/</t>
        </is>
      </c>
    </row>
    <row r="16">
      <c r="A16" t="inlineStr" s="9">
        <is>
          <t>Derived</t>
        </is>
      </c>
    </row>
    <row r="17">
      <c r="B17" t="inlineStr" s="0">
        <is>
          <t>Years to Retirement</t>
        </is>
      </c>
      <c r="C17" s="10">
        <f>C5-C4</f>
      </c>
    </row>
    <row r="18">
      <c r="B18" t="inlineStr" s="0">
        <is>
          <t>Years in Retirement</t>
        </is>
      </c>
      <c r="C18" s="10">
        <f>C6-C5</f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dimension ref="A1:J73"/>
  <sheetViews>
    <sheetView workbookViewId="0">
      <pane ySplit="3" topLeftCell="A4" activePane="bottomLeft" state="frozen"/>
    </sheetView>
  </sheetViews>
  <sheetFormatPr defaultRowHeight="15"/>
  <cols>
    <col min="1" max="1" width="8" customWidth="1"/>
    <col min="2" max="2" width="8" customWidth="1"/>
    <col min="3" max="9" width="18" customWidth="1"/>
    <col min="10" max="10" width="12" customWidth="1"/>
  </cols>
  <sheetData>
    <row r="1">
      <c r="A1" t="inlineStr" s="11">
        <is>
          <t>Retirement Cash Flow Projection</t>
        </is>
      </c>
    </row>
    <row r="3">
      <c r="A3" t="inlineStr" s="1">
        <is>
          <t>Year</t>
        </is>
      </c>
      <c r="B3" t="inlineStr" s="1">
        <is>
          <t>Age</t>
        </is>
      </c>
      <c r="C3" t="inlineStr" s="1">
        <is>
          <t>Start Balance ($)</t>
        </is>
      </c>
      <c r="D3" t="inlineStr" s="1">
        <is>
          <t>Contribution ($)</t>
        </is>
      </c>
      <c r="E3" t="inlineStr" s="1">
        <is>
          <t>Investment Return ($)</t>
        </is>
      </c>
      <c r="F3" t="inlineStr" s="1">
        <is>
          <t>Social Security ($)</t>
        </is>
      </c>
      <c r="G3" t="inlineStr" s="1">
        <is>
          <t>Spending Need ($)</t>
        </is>
      </c>
      <c r="H3" t="inlineStr" s="1">
        <is>
          <t>Net Cash Flow ($)</t>
        </is>
      </c>
      <c r="I3" t="inlineStr" s="1">
        <is>
          <t>End Balance ($)</t>
        </is>
      </c>
      <c r="J3" t="inlineStr" s="1">
        <is>
          <t>Status</t>
        </is>
      </c>
    </row>
    <row r="4">
      <c r="A4" s="5">
        <v>1</v>
      </c>
      <c r="B4" s="5">
        <f>Inputs!$C$4+A4-1</f>
      </c>
      <c r="C4" s="6">
        <f>Inputs!$C$7</f>
      </c>
      <c r="D4" s="6">
        <f>IF(B4&lt;Inputs!$C$5,Inputs!$C$8*(1+Inputs!$C$9)^(A4-1),0)</f>
      </c>
      <c r="E4" s="6">
        <f>C4*IF(B4&lt;Inputs!$C$5,Inputs!$C$10,Inputs!$C$11)</f>
      </c>
      <c r="F4" s="6">
        <f>IF(B4&gt;=Inputs!$C$5,Inputs!$C$14*(1+Inputs!$C$13)^(B4-Inputs!$C$5),0)</f>
      </c>
      <c r="G4" s="6">
        <f>IF(B4&gt;=Inputs!$C$5,Inputs!$C$12*(1+Inputs!$C$13)^(B4-Inputs!$C$5),0)</f>
      </c>
      <c r="H4" s="6">
        <f>D4+E4+F4-G4</f>
      </c>
      <c r="I4" s="6">
        <f>MAX(0,C4+H4)</f>
      </c>
      <c r="J4" s="0">
        <f>IF(B4&gt;Inputs!$C$6,"",IF(I4=0,"Depleted","Funded"))</f>
      </c>
    </row>
    <row r="5">
      <c r="A5" s="5">
        <v>2</v>
      </c>
      <c r="B5" s="5">
        <f>Inputs!$C$4+A5-1</f>
      </c>
      <c r="C5" s="6">
        <f>I4</f>
      </c>
      <c r="D5" s="6">
        <f>IF(B5&lt;Inputs!$C$5,Inputs!$C$8*(1+Inputs!$C$9)^(A5-1),0)</f>
      </c>
      <c r="E5" s="6">
        <f>C5*IF(B5&lt;Inputs!$C$5,Inputs!$C$10,Inputs!$C$11)</f>
      </c>
      <c r="F5" s="6">
        <f>IF(B5&gt;=Inputs!$C$5,Inputs!$C$14*(1+Inputs!$C$13)^(B5-Inputs!$C$5),0)</f>
      </c>
      <c r="G5" s="6">
        <f>IF(B5&gt;=Inputs!$C$5,Inputs!$C$12*(1+Inputs!$C$13)^(B5-Inputs!$C$5),0)</f>
      </c>
      <c r="H5" s="6">
        <f>D5+E5+F5-G5</f>
      </c>
      <c r="I5" s="6">
        <f>MAX(0,C5+H5)</f>
      </c>
      <c r="J5" s="0">
        <f>IF(B5&gt;Inputs!$C$6,"",IF(I5=0,"Depleted","Funded"))</f>
      </c>
    </row>
    <row r="6">
      <c r="A6" s="5">
        <v>3</v>
      </c>
      <c r="B6" s="5">
        <f>Inputs!$C$4+A6-1</f>
      </c>
      <c r="C6" s="6">
        <f>I5</f>
      </c>
      <c r="D6" s="6">
        <f>IF(B6&lt;Inputs!$C$5,Inputs!$C$8*(1+Inputs!$C$9)^(A6-1),0)</f>
      </c>
      <c r="E6" s="6">
        <f>C6*IF(B6&lt;Inputs!$C$5,Inputs!$C$10,Inputs!$C$11)</f>
      </c>
      <c r="F6" s="6">
        <f>IF(B6&gt;=Inputs!$C$5,Inputs!$C$14*(1+Inputs!$C$13)^(B6-Inputs!$C$5),0)</f>
      </c>
      <c r="G6" s="6">
        <f>IF(B6&gt;=Inputs!$C$5,Inputs!$C$12*(1+Inputs!$C$13)^(B6-Inputs!$C$5),0)</f>
      </c>
      <c r="H6" s="6">
        <f>D6+E6+F6-G6</f>
      </c>
      <c r="I6" s="6">
        <f>MAX(0,C6+H6)</f>
      </c>
      <c r="J6" s="0">
        <f>IF(B6&gt;Inputs!$C$6,"",IF(I6=0,"Depleted","Funded"))</f>
      </c>
    </row>
    <row r="7">
      <c r="A7" s="5">
        <v>4</v>
      </c>
      <c r="B7" s="5">
        <f>Inputs!$C$4+A7-1</f>
      </c>
      <c r="C7" s="6">
        <f>I6</f>
      </c>
      <c r="D7" s="6">
        <f>IF(B7&lt;Inputs!$C$5,Inputs!$C$8*(1+Inputs!$C$9)^(A7-1),0)</f>
      </c>
      <c r="E7" s="6">
        <f>C7*IF(B7&lt;Inputs!$C$5,Inputs!$C$10,Inputs!$C$11)</f>
      </c>
      <c r="F7" s="6">
        <f>IF(B7&gt;=Inputs!$C$5,Inputs!$C$14*(1+Inputs!$C$13)^(B7-Inputs!$C$5),0)</f>
      </c>
      <c r="G7" s="6">
        <f>IF(B7&gt;=Inputs!$C$5,Inputs!$C$12*(1+Inputs!$C$13)^(B7-Inputs!$C$5),0)</f>
      </c>
      <c r="H7" s="6">
        <f>D7+E7+F7-G7</f>
      </c>
      <c r="I7" s="6">
        <f>MAX(0,C7+H7)</f>
      </c>
      <c r="J7" s="0">
        <f>IF(B7&gt;Inputs!$C$6,"",IF(I7=0,"Depleted","Funded"))</f>
      </c>
    </row>
    <row r="8">
      <c r="A8" s="5">
        <v>5</v>
      </c>
      <c r="B8" s="5">
        <f>Inputs!$C$4+A8-1</f>
      </c>
      <c r="C8" s="6">
        <f>I7</f>
      </c>
      <c r="D8" s="6">
        <f>IF(B8&lt;Inputs!$C$5,Inputs!$C$8*(1+Inputs!$C$9)^(A8-1),0)</f>
      </c>
      <c r="E8" s="6">
        <f>C8*IF(B8&lt;Inputs!$C$5,Inputs!$C$10,Inputs!$C$11)</f>
      </c>
      <c r="F8" s="6">
        <f>IF(B8&gt;=Inputs!$C$5,Inputs!$C$14*(1+Inputs!$C$13)^(B8-Inputs!$C$5),0)</f>
      </c>
      <c r="G8" s="6">
        <f>IF(B8&gt;=Inputs!$C$5,Inputs!$C$12*(1+Inputs!$C$13)^(B8-Inputs!$C$5),0)</f>
      </c>
      <c r="H8" s="6">
        <f>D8+E8+F8-G8</f>
      </c>
      <c r="I8" s="6">
        <f>MAX(0,C8+H8)</f>
      </c>
      <c r="J8" s="0">
        <f>IF(B8&gt;Inputs!$C$6,"",IF(I8=0,"Depleted","Funded"))</f>
      </c>
    </row>
    <row r="9">
      <c r="A9" s="5">
        <v>6</v>
      </c>
      <c r="B9" s="5">
        <f>Inputs!$C$4+A9-1</f>
      </c>
      <c r="C9" s="6">
        <f>I8</f>
      </c>
      <c r="D9" s="6">
        <f>IF(B9&lt;Inputs!$C$5,Inputs!$C$8*(1+Inputs!$C$9)^(A9-1),0)</f>
      </c>
      <c r="E9" s="6">
        <f>C9*IF(B9&lt;Inputs!$C$5,Inputs!$C$10,Inputs!$C$11)</f>
      </c>
      <c r="F9" s="6">
        <f>IF(B9&gt;=Inputs!$C$5,Inputs!$C$14*(1+Inputs!$C$13)^(B9-Inputs!$C$5),0)</f>
      </c>
      <c r="G9" s="6">
        <f>IF(B9&gt;=Inputs!$C$5,Inputs!$C$12*(1+Inputs!$C$13)^(B9-Inputs!$C$5),0)</f>
      </c>
      <c r="H9" s="6">
        <f>D9+E9+F9-G9</f>
      </c>
      <c r="I9" s="6">
        <f>MAX(0,C9+H9)</f>
      </c>
      <c r="J9" s="0">
        <f>IF(B9&gt;Inputs!$C$6,"",IF(I9=0,"Depleted","Funded"))</f>
      </c>
    </row>
    <row r="10">
      <c r="A10" s="5">
        <v>7</v>
      </c>
      <c r="B10" s="5">
        <f>Inputs!$C$4+A10-1</f>
      </c>
      <c r="C10" s="6">
        <f>I9</f>
      </c>
      <c r="D10" s="6">
        <f>IF(B10&lt;Inputs!$C$5,Inputs!$C$8*(1+Inputs!$C$9)^(A10-1),0)</f>
      </c>
      <c r="E10" s="6">
        <f>C10*IF(B10&lt;Inputs!$C$5,Inputs!$C$10,Inputs!$C$11)</f>
      </c>
      <c r="F10" s="6">
        <f>IF(B10&gt;=Inputs!$C$5,Inputs!$C$14*(1+Inputs!$C$13)^(B10-Inputs!$C$5),0)</f>
      </c>
      <c r="G10" s="6">
        <f>IF(B10&gt;=Inputs!$C$5,Inputs!$C$12*(1+Inputs!$C$13)^(B10-Inputs!$C$5),0)</f>
      </c>
      <c r="H10" s="6">
        <f>D10+E10+F10-G10</f>
      </c>
      <c r="I10" s="6">
        <f>MAX(0,C10+H10)</f>
      </c>
      <c r="J10" s="0">
        <f>IF(B10&gt;Inputs!$C$6,"",IF(I10=0,"Depleted","Funded"))</f>
      </c>
    </row>
    <row r="11">
      <c r="A11" s="5">
        <v>8</v>
      </c>
      <c r="B11" s="5">
        <f>Inputs!$C$4+A11-1</f>
      </c>
      <c r="C11" s="6">
        <f>I10</f>
      </c>
      <c r="D11" s="6">
        <f>IF(B11&lt;Inputs!$C$5,Inputs!$C$8*(1+Inputs!$C$9)^(A11-1),0)</f>
      </c>
      <c r="E11" s="6">
        <f>C11*IF(B11&lt;Inputs!$C$5,Inputs!$C$10,Inputs!$C$11)</f>
      </c>
      <c r="F11" s="6">
        <f>IF(B11&gt;=Inputs!$C$5,Inputs!$C$14*(1+Inputs!$C$13)^(B11-Inputs!$C$5),0)</f>
      </c>
      <c r="G11" s="6">
        <f>IF(B11&gt;=Inputs!$C$5,Inputs!$C$12*(1+Inputs!$C$13)^(B11-Inputs!$C$5),0)</f>
      </c>
      <c r="H11" s="6">
        <f>D11+E11+F11-G11</f>
      </c>
      <c r="I11" s="6">
        <f>MAX(0,C11+H11)</f>
      </c>
      <c r="J11" s="0">
        <f>IF(B11&gt;Inputs!$C$6,"",IF(I11=0,"Depleted","Funded"))</f>
      </c>
    </row>
    <row r="12">
      <c r="A12" s="5">
        <v>9</v>
      </c>
      <c r="B12" s="5">
        <f>Inputs!$C$4+A12-1</f>
      </c>
      <c r="C12" s="6">
        <f>I11</f>
      </c>
      <c r="D12" s="6">
        <f>IF(B12&lt;Inputs!$C$5,Inputs!$C$8*(1+Inputs!$C$9)^(A12-1),0)</f>
      </c>
      <c r="E12" s="6">
        <f>C12*IF(B12&lt;Inputs!$C$5,Inputs!$C$10,Inputs!$C$11)</f>
      </c>
      <c r="F12" s="6">
        <f>IF(B12&gt;=Inputs!$C$5,Inputs!$C$14*(1+Inputs!$C$13)^(B12-Inputs!$C$5),0)</f>
      </c>
      <c r="G12" s="6">
        <f>IF(B12&gt;=Inputs!$C$5,Inputs!$C$12*(1+Inputs!$C$13)^(B12-Inputs!$C$5),0)</f>
      </c>
      <c r="H12" s="6">
        <f>D12+E12+F12-G12</f>
      </c>
      <c r="I12" s="6">
        <f>MAX(0,C12+H12)</f>
      </c>
      <c r="J12" s="0">
        <f>IF(B12&gt;Inputs!$C$6,"",IF(I12=0,"Depleted","Funded"))</f>
      </c>
    </row>
    <row r="13">
      <c r="A13" s="5">
        <v>10</v>
      </c>
      <c r="B13" s="5">
        <f>Inputs!$C$4+A13-1</f>
      </c>
      <c r="C13" s="6">
        <f>I12</f>
      </c>
      <c r="D13" s="6">
        <f>IF(B13&lt;Inputs!$C$5,Inputs!$C$8*(1+Inputs!$C$9)^(A13-1),0)</f>
      </c>
      <c r="E13" s="6">
        <f>C13*IF(B13&lt;Inputs!$C$5,Inputs!$C$10,Inputs!$C$11)</f>
      </c>
      <c r="F13" s="6">
        <f>IF(B13&gt;=Inputs!$C$5,Inputs!$C$14*(1+Inputs!$C$13)^(B13-Inputs!$C$5),0)</f>
      </c>
      <c r="G13" s="6">
        <f>IF(B13&gt;=Inputs!$C$5,Inputs!$C$12*(1+Inputs!$C$13)^(B13-Inputs!$C$5),0)</f>
      </c>
      <c r="H13" s="6">
        <f>D13+E13+F13-G13</f>
      </c>
      <c r="I13" s="6">
        <f>MAX(0,C13+H13)</f>
      </c>
      <c r="J13" s="0">
        <f>IF(B13&gt;Inputs!$C$6,"",IF(I13=0,"Depleted","Funded"))</f>
      </c>
    </row>
    <row r="14">
      <c r="A14" s="5">
        <v>11</v>
      </c>
      <c r="B14" s="5">
        <f>Inputs!$C$4+A14-1</f>
      </c>
      <c r="C14" s="6">
        <f>I13</f>
      </c>
      <c r="D14" s="6">
        <f>IF(B14&lt;Inputs!$C$5,Inputs!$C$8*(1+Inputs!$C$9)^(A14-1),0)</f>
      </c>
      <c r="E14" s="6">
        <f>C14*IF(B14&lt;Inputs!$C$5,Inputs!$C$10,Inputs!$C$11)</f>
      </c>
      <c r="F14" s="6">
        <f>IF(B14&gt;=Inputs!$C$5,Inputs!$C$14*(1+Inputs!$C$13)^(B14-Inputs!$C$5),0)</f>
      </c>
      <c r="G14" s="6">
        <f>IF(B14&gt;=Inputs!$C$5,Inputs!$C$12*(1+Inputs!$C$13)^(B14-Inputs!$C$5),0)</f>
      </c>
      <c r="H14" s="6">
        <f>D14+E14+F14-G14</f>
      </c>
      <c r="I14" s="6">
        <f>MAX(0,C14+H14)</f>
      </c>
      <c r="J14" s="0">
        <f>IF(B14&gt;Inputs!$C$6,"",IF(I14=0,"Depleted","Funded"))</f>
      </c>
    </row>
    <row r="15">
      <c r="A15" s="5">
        <v>12</v>
      </c>
      <c r="B15" s="5">
        <f>Inputs!$C$4+A15-1</f>
      </c>
      <c r="C15" s="6">
        <f>I14</f>
      </c>
      <c r="D15" s="6">
        <f>IF(B15&lt;Inputs!$C$5,Inputs!$C$8*(1+Inputs!$C$9)^(A15-1),0)</f>
      </c>
      <c r="E15" s="6">
        <f>C15*IF(B15&lt;Inputs!$C$5,Inputs!$C$10,Inputs!$C$11)</f>
      </c>
      <c r="F15" s="6">
        <f>IF(B15&gt;=Inputs!$C$5,Inputs!$C$14*(1+Inputs!$C$13)^(B15-Inputs!$C$5),0)</f>
      </c>
      <c r="G15" s="6">
        <f>IF(B15&gt;=Inputs!$C$5,Inputs!$C$12*(1+Inputs!$C$13)^(B15-Inputs!$C$5),0)</f>
      </c>
      <c r="H15" s="6">
        <f>D15+E15+F15-G15</f>
      </c>
      <c r="I15" s="6">
        <f>MAX(0,C15+H15)</f>
      </c>
      <c r="J15" s="0">
        <f>IF(B15&gt;Inputs!$C$6,"",IF(I15=0,"Depleted","Funded"))</f>
      </c>
    </row>
    <row r="16">
      <c r="A16" s="5">
        <v>13</v>
      </c>
      <c r="B16" s="5">
        <f>Inputs!$C$4+A16-1</f>
      </c>
      <c r="C16" s="6">
        <f>I15</f>
      </c>
      <c r="D16" s="6">
        <f>IF(B16&lt;Inputs!$C$5,Inputs!$C$8*(1+Inputs!$C$9)^(A16-1),0)</f>
      </c>
      <c r="E16" s="6">
        <f>C16*IF(B16&lt;Inputs!$C$5,Inputs!$C$10,Inputs!$C$11)</f>
      </c>
      <c r="F16" s="6">
        <f>IF(B16&gt;=Inputs!$C$5,Inputs!$C$14*(1+Inputs!$C$13)^(B16-Inputs!$C$5),0)</f>
      </c>
      <c r="G16" s="6">
        <f>IF(B16&gt;=Inputs!$C$5,Inputs!$C$12*(1+Inputs!$C$13)^(B16-Inputs!$C$5),0)</f>
      </c>
      <c r="H16" s="6">
        <f>D16+E16+F16-G16</f>
      </c>
      <c r="I16" s="6">
        <f>MAX(0,C16+H16)</f>
      </c>
      <c r="J16" s="0">
        <f>IF(B16&gt;Inputs!$C$6,"",IF(I16=0,"Depleted","Funded"))</f>
      </c>
    </row>
    <row r="17">
      <c r="A17" s="5">
        <v>14</v>
      </c>
      <c r="B17" s="5">
        <f>Inputs!$C$4+A17-1</f>
      </c>
      <c r="C17" s="6">
        <f>I16</f>
      </c>
      <c r="D17" s="6">
        <f>IF(B17&lt;Inputs!$C$5,Inputs!$C$8*(1+Inputs!$C$9)^(A17-1),0)</f>
      </c>
      <c r="E17" s="6">
        <f>C17*IF(B17&lt;Inputs!$C$5,Inputs!$C$10,Inputs!$C$11)</f>
      </c>
      <c r="F17" s="6">
        <f>IF(B17&gt;=Inputs!$C$5,Inputs!$C$14*(1+Inputs!$C$13)^(B17-Inputs!$C$5),0)</f>
      </c>
      <c r="G17" s="6">
        <f>IF(B17&gt;=Inputs!$C$5,Inputs!$C$12*(1+Inputs!$C$13)^(B17-Inputs!$C$5),0)</f>
      </c>
      <c r="H17" s="6">
        <f>D17+E17+F17-G17</f>
      </c>
      <c r="I17" s="6">
        <f>MAX(0,C17+H17)</f>
      </c>
      <c r="J17" s="0">
        <f>IF(B17&gt;Inputs!$C$6,"",IF(I17=0,"Depleted","Funded"))</f>
      </c>
    </row>
    <row r="18">
      <c r="A18" s="5">
        <v>15</v>
      </c>
      <c r="B18" s="5">
        <f>Inputs!$C$4+A18-1</f>
      </c>
      <c r="C18" s="6">
        <f>I17</f>
      </c>
      <c r="D18" s="6">
        <f>IF(B18&lt;Inputs!$C$5,Inputs!$C$8*(1+Inputs!$C$9)^(A18-1),0)</f>
      </c>
      <c r="E18" s="6">
        <f>C18*IF(B18&lt;Inputs!$C$5,Inputs!$C$10,Inputs!$C$11)</f>
      </c>
      <c r="F18" s="6">
        <f>IF(B18&gt;=Inputs!$C$5,Inputs!$C$14*(1+Inputs!$C$13)^(B18-Inputs!$C$5),0)</f>
      </c>
      <c r="G18" s="6">
        <f>IF(B18&gt;=Inputs!$C$5,Inputs!$C$12*(1+Inputs!$C$13)^(B18-Inputs!$C$5),0)</f>
      </c>
      <c r="H18" s="6">
        <f>D18+E18+F18-G18</f>
      </c>
      <c r="I18" s="6">
        <f>MAX(0,C18+H18)</f>
      </c>
      <c r="J18" s="0">
        <f>IF(B18&gt;Inputs!$C$6,"",IF(I18=0,"Depleted","Funded"))</f>
      </c>
    </row>
    <row r="19">
      <c r="A19" s="5">
        <v>16</v>
      </c>
      <c r="B19" s="5">
        <f>Inputs!$C$4+A19-1</f>
      </c>
      <c r="C19" s="6">
        <f>I18</f>
      </c>
      <c r="D19" s="6">
        <f>IF(B19&lt;Inputs!$C$5,Inputs!$C$8*(1+Inputs!$C$9)^(A19-1),0)</f>
      </c>
      <c r="E19" s="6">
        <f>C19*IF(B19&lt;Inputs!$C$5,Inputs!$C$10,Inputs!$C$11)</f>
      </c>
      <c r="F19" s="6">
        <f>IF(B19&gt;=Inputs!$C$5,Inputs!$C$14*(1+Inputs!$C$13)^(B19-Inputs!$C$5),0)</f>
      </c>
      <c r="G19" s="6">
        <f>IF(B19&gt;=Inputs!$C$5,Inputs!$C$12*(1+Inputs!$C$13)^(B19-Inputs!$C$5),0)</f>
      </c>
      <c r="H19" s="6">
        <f>D19+E19+F19-G19</f>
      </c>
      <c r="I19" s="6">
        <f>MAX(0,C19+H19)</f>
      </c>
      <c r="J19" s="0">
        <f>IF(B19&gt;Inputs!$C$6,"",IF(I19=0,"Depleted","Funded"))</f>
      </c>
    </row>
    <row r="20">
      <c r="A20" s="5">
        <v>17</v>
      </c>
      <c r="B20" s="5">
        <f>Inputs!$C$4+A20-1</f>
      </c>
      <c r="C20" s="6">
        <f>I19</f>
      </c>
      <c r="D20" s="6">
        <f>IF(B20&lt;Inputs!$C$5,Inputs!$C$8*(1+Inputs!$C$9)^(A20-1),0)</f>
      </c>
      <c r="E20" s="6">
        <f>C20*IF(B20&lt;Inputs!$C$5,Inputs!$C$10,Inputs!$C$11)</f>
      </c>
      <c r="F20" s="6">
        <f>IF(B20&gt;=Inputs!$C$5,Inputs!$C$14*(1+Inputs!$C$13)^(B20-Inputs!$C$5),0)</f>
      </c>
      <c r="G20" s="6">
        <f>IF(B20&gt;=Inputs!$C$5,Inputs!$C$12*(1+Inputs!$C$13)^(B20-Inputs!$C$5),0)</f>
      </c>
      <c r="H20" s="6">
        <f>D20+E20+F20-G20</f>
      </c>
      <c r="I20" s="6">
        <f>MAX(0,C20+H20)</f>
      </c>
      <c r="J20" s="0">
        <f>IF(B20&gt;Inputs!$C$6,"",IF(I20=0,"Depleted","Funded"))</f>
      </c>
    </row>
    <row r="21">
      <c r="A21" s="5">
        <v>18</v>
      </c>
      <c r="B21" s="5">
        <f>Inputs!$C$4+A21-1</f>
      </c>
      <c r="C21" s="6">
        <f>I20</f>
      </c>
      <c r="D21" s="6">
        <f>IF(B21&lt;Inputs!$C$5,Inputs!$C$8*(1+Inputs!$C$9)^(A21-1),0)</f>
      </c>
      <c r="E21" s="6">
        <f>C21*IF(B21&lt;Inputs!$C$5,Inputs!$C$10,Inputs!$C$11)</f>
      </c>
      <c r="F21" s="6">
        <f>IF(B21&gt;=Inputs!$C$5,Inputs!$C$14*(1+Inputs!$C$13)^(B21-Inputs!$C$5),0)</f>
      </c>
      <c r="G21" s="6">
        <f>IF(B21&gt;=Inputs!$C$5,Inputs!$C$12*(1+Inputs!$C$13)^(B21-Inputs!$C$5),0)</f>
      </c>
      <c r="H21" s="6">
        <f>D21+E21+F21-G21</f>
      </c>
      <c r="I21" s="6">
        <f>MAX(0,C21+H21)</f>
      </c>
      <c r="J21" s="0">
        <f>IF(B21&gt;Inputs!$C$6,"",IF(I21=0,"Depleted","Funded"))</f>
      </c>
    </row>
    <row r="22">
      <c r="A22" s="5">
        <v>19</v>
      </c>
      <c r="B22" s="5">
        <f>Inputs!$C$4+A22-1</f>
      </c>
      <c r="C22" s="6">
        <f>I21</f>
      </c>
      <c r="D22" s="6">
        <f>IF(B22&lt;Inputs!$C$5,Inputs!$C$8*(1+Inputs!$C$9)^(A22-1),0)</f>
      </c>
      <c r="E22" s="6">
        <f>C22*IF(B22&lt;Inputs!$C$5,Inputs!$C$10,Inputs!$C$11)</f>
      </c>
      <c r="F22" s="6">
        <f>IF(B22&gt;=Inputs!$C$5,Inputs!$C$14*(1+Inputs!$C$13)^(B22-Inputs!$C$5),0)</f>
      </c>
      <c r="G22" s="6">
        <f>IF(B22&gt;=Inputs!$C$5,Inputs!$C$12*(1+Inputs!$C$13)^(B22-Inputs!$C$5),0)</f>
      </c>
      <c r="H22" s="6">
        <f>D22+E22+F22-G22</f>
      </c>
      <c r="I22" s="6">
        <f>MAX(0,C22+H22)</f>
      </c>
      <c r="J22" s="0">
        <f>IF(B22&gt;Inputs!$C$6,"",IF(I22=0,"Depleted","Funded"))</f>
      </c>
    </row>
    <row r="23">
      <c r="A23" s="5">
        <v>20</v>
      </c>
      <c r="B23" s="5">
        <f>Inputs!$C$4+A23-1</f>
      </c>
      <c r="C23" s="6">
        <f>I22</f>
      </c>
      <c r="D23" s="6">
        <f>IF(B23&lt;Inputs!$C$5,Inputs!$C$8*(1+Inputs!$C$9)^(A23-1),0)</f>
      </c>
      <c r="E23" s="6">
        <f>C23*IF(B23&lt;Inputs!$C$5,Inputs!$C$10,Inputs!$C$11)</f>
      </c>
      <c r="F23" s="6">
        <f>IF(B23&gt;=Inputs!$C$5,Inputs!$C$14*(1+Inputs!$C$13)^(B23-Inputs!$C$5),0)</f>
      </c>
      <c r="G23" s="6">
        <f>IF(B23&gt;=Inputs!$C$5,Inputs!$C$12*(1+Inputs!$C$13)^(B23-Inputs!$C$5),0)</f>
      </c>
      <c r="H23" s="6">
        <f>D23+E23+F23-G23</f>
      </c>
      <c r="I23" s="6">
        <f>MAX(0,C23+H23)</f>
      </c>
      <c r="J23" s="0">
        <f>IF(B23&gt;Inputs!$C$6,"",IF(I23=0,"Depleted","Funded"))</f>
      </c>
    </row>
    <row r="24">
      <c r="A24" s="5">
        <v>21</v>
      </c>
      <c r="B24" s="5">
        <f>Inputs!$C$4+A24-1</f>
      </c>
      <c r="C24" s="6">
        <f>I23</f>
      </c>
      <c r="D24" s="6">
        <f>IF(B24&lt;Inputs!$C$5,Inputs!$C$8*(1+Inputs!$C$9)^(A24-1),0)</f>
      </c>
      <c r="E24" s="6">
        <f>C24*IF(B24&lt;Inputs!$C$5,Inputs!$C$10,Inputs!$C$11)</f>
      </c>
      <c r="F24" s="6">
        <f>IF(B24&gt;=Inputs!$C$5,Inputs!$C$14*(1+Inputs!$C$13)^(B24-Inputs!$C$5),0)</f>
      </c>
      <c r="G24" s="6">
        <f>IF(B24&gt;=Inputs!$C$5,Inputs!$C$12*(1+Inputs!$C$13)^(B24-Inputs!$C$5),0)</f>
      </c>
      <c r="H24" s="6">
        <f>D24+E24+F24-G24</f>
      </c>
      <c r="I24" s="6">
        <f>MAX(0,C24+H24)</f>
      </c>
      <c r="J24" s="0">
        <f>IF(B24&gt;Inputs!$C$6,"",IF(I24=0,"Depleted","Funded"))</f>
      </c>
    </row>
    <row r="25">
      <c r="A25" s="5">
        <v>22</v>
      </c>
      <c r="B25" s="5">
        <f>Inputs!$C$4+A25-1</f>
      </c>
      <c r="C25" s="6">
        <f>I24</f>
      </c>
      <c r="D25" s="6">
        <f>IF(B25&lt;Inputs!$C$5,Inputs!$C$8*(1+Inputs!$C$9)^(A25-1),0)</f>
      </c>
      <c r="E25" s="6">
        <f>C25*IF(B25&lt;Inputs!$C$5,Inputs!$C$10,Inputs!$C$11)</f>
      </c>
      <c r="F25" s="6">
        <f>IF(B25&gt;=Inputs!$C$5,Inputs!$C$14*(1+Inputs!$C$13)^(B25-Inputs!$C$5),0)</f>
      </c>
      <c r="G25" s="6">
        <f>IF(B25&gt;=Inputs!$C$5,Inputs!$C$12*(1+Inputs!$C$13)^(B25-Inputs!$C$5),0)</f>
      </c>
      <c r="H25" s="6">
        <f>D25+E25+F25-G25</f>
      </c>
      <c r="I25" s="6">
        <f>MAX(0,C25+H25)</f>
      </c>
      <c r="J25" s="0">
        <f>IF(B25&gt;Inputs!$C$6,"",IF(I25=0,"Depleted","Funded"))</f>
      </c>
    </row>
    <row r="26">
      <c r="A26" s="5">
        <v>23</v>
      </c>
      <c r="B26" s="5">
        <f>Inputs!$C$4+A26-1</f>
      </c>
      <c r="C26" s="6">
        <f>I25</f>
      </c>
      <c r="D26" s="6">
        <f>IF(B26&lt;Inputs!$C$5,Inputs!$C$8*(1+Inputs!$C$9)^(A26-1),0)</f>
      </c>
      <c r="E26" s="6">
        <f>C26*IF(B26&lt;Inputs!$C$5,Inputs!$C$10,Inputs!$C$11)</f>
      </c>
      <c r="F26" s="6">
        <f>IF(B26&gt;=Inputs!$C$5,Inputs!$C$14*(1+Inputs!$C$13)^(B26-Inputs!$C$5),0)</f>
      </c>
      <c r="G26" s="6">
        <f>IF(B26&gt;=Inputs!$C$5,Inputs!$C$12*(1+Inputs!$C$13)^(B26-Inputs!$C$5),0)</f>
      </c>
      <c r="H26" s="6">
        <f>D26+E26+F26-G26</f>
      </c>
      <c r="I26" s="6">
        <f>MAX(0,C26+H26)</f>
      </c>
      <c r="J26" s="0">
        <f>IF(B26&gt;Inputs!$C$6,"",IF(I26=0,"Depleted","Funded"))</f>
      </c>
    </row>
    <row r="27">
      <c r="A27" s="5">
        <v>24</v>
      </c>
      <c r="B27" s="5">
        <f>Inputs!$C$4+A27-1</f>
      </c>
      <c r="C27" s="6">
        <f>I26</f>
      </c>
      <c r="D27" s="6">
        <f>IF(B27&lt;Inputs!$C$5,Inputs!$C$8*(1+Inputs!$C$9)^(A27-1),0)</f>
      </c>
      <c r="E27" s="6">
        <f>C27*IF(B27&lt;Inputs!$C$5,Inputs!$C$10,Inputs!$C$11)</f>
      </c>
      <c r="F27" s="6">
        <f>IF(B27&gt;=Inputs!$C$5,Inputs!$C$14*(1+Inputs!$C$13)^(B27-Inputs!$C$5),0)</f>
      </c>
      <c r="G27" s="6">
        <f>IF(B27&gt;=Inputs!$C$5,Inputs!$C$12*(1+Inputs!$C$13)^(B27-Inputs!$C$5),0)</f>
      </c>
      <c r="H27" s="6">
        <f>D27+E27+F27-G27</f>
      </c>
      <c r="I27" s="6">
        <f>MAX(0,C27+H27)</f>
      </c>
      <c r="J27" s="0">
        <f>IF(B27&gt;Inputs!$C$6,"",IF(I27=0,"Depleted","Funded"))</f>
      </c>
    </row>
    <row r="28">
      <c r="A28" s="5">
        <v>25</v>
      </c>
      <c r="B28" s="5">
        <f>Inputs!$C$4+A28-1</f>
      </c>
      <c r="C28" s="6">
        <f>I27</f>
      </c>
      <c r="D28" s="6">
        <f>IF(B28&lt;Inputs!$C$5,Inputs!$C$8*(1+Inputs!$C$9)^(A28-1),0)</f>
      </c>
      <c r="E28" s="6">
        <f>C28*IF(B28&lt;Inputs!$C$5,Inputs!$C$10,Inputs!$C$11)</f>
      </c>
      <c r="F28" s="6">
        <f>IF(B28&gt;=Inputs!$C$5,Inputs!$C$14*(1+Inputs!$C$13)^(B28-Inputs!$C$5),0)</f>
      </c>
      <c r="G28" s="6">
        <f>IF(B28&gt;=Inputs!$C$5,Inputs!$C$12*(1+Inputs!$C$13)^(B28-Inputs!$C$5),0)</f>
      </c>
      <c r="H28" s="6">
        <f>D28+E28+F28-G28</f>
      </c>
      <c r="I28" s="6">
        <f>MAX(0,C28+H28)</f>
      </c>
      <c r="J28" s="0">
        <f>IF(B28&gt;Inputs!$C$6,"",IF(I28=0,"Depleted","Funded"))</f>
      </c>
    </row>
    <row r="29">
      <c r="A29" s="5">
        <v>26</v>
      </c>
      <c r="B29" s="5">
        <f>Inputs!$C$4+A29-1</f>
      </c>
      <c r="C29" s="6">
        <f>I28</f>
      </c>
      <c r="D29" s="6">
        <f>IF(B29&lt;Inputs!$C$5,Inputs!$C$8*(1+Inputs!$C$9)^(A29-1),0)</f>
      </c>
      <c r="E29" s="6">
        <f>C29*IF(B29&lt;Inputs!$C$5,Inputs!$C$10,Inputs!$C$11)</f>
      </c>
      <c r="F29" s="6">
        <f>IF(B29&gt;=Inputs!$C$5,Inputs!$C$14*(1+Inputs!$C$13)^(B29-Inputs!$C$5),0)</f>
      </c>
      <c r="G29" s="6">
        <f>IF(B29&gt;=Inputs!$C$5,Inputs!$C$12*(1+Inputs!$C$13)^(B29-Inputs!$C$5),0)</f>
      </c>
      <c r="H29" s="6">
        <f>D29+E29+F29-G29</f>
      </c>
      <c r="I29" s="6">
        <f>MAX(0,C29+H29)</f>
      </c>
      <c r="J29" s="0">
        <f>IF(B29&gt;Inputs!$C$6,"",IF(I29=0,"Depleted","Funded"))</f>
      </c>
    </row>
    <row r="30">
      <c r="A30" s="5">
        <v>27</v>
      </c>
      <c r="B30" s="5">
        <f>Inputs!$C$4+A30-1</f>
      </c>
      <c r="C30" s="6">
        <f>I29</f>
      </c>
      <c r="D30" s="6">
        <f>IF(B30&lt;Inputs!$C$5,Inputs!$C$8*(1+Inputs!$C$9)^(A30-1),0)</f>
      </c>
      <c r="E30" s="6">
        <f>C30*IF(B30&lt;Inputs!$C$5,Inputs!$C$10,Inputs!$C$11)</f>
      </c>
      <c r="F30" s="6">
        <f>IF(B30&gt;=Inputs!$C$5,Inputs!$C$14*(1+Inputs!$C$13)^(B30-Inputs!$C$5),0)</f>
      </c>
      <c r="G30" s="6">
        <f>IF(B30&gt;=Inputs!$C$5,Inputs!$C$12*(1+Inputs!$C$13)^(B30-Inputs!$C$5),0)</f>
      </c>
      <c r="H30" s="6">
        <f>D30+E30+F30-G30</f>
      </c>
      <c r="I30" s="6">
        <f>MAX(0,C30+H30)</f>
      </c>
      <c r="J30" s="0">
        <f>IF(B30&gt;Inputs!$C$6,"",IF(I30=0,"Depleted","Funded"))</f>
      </c>
    </row>
    <row r="31">
      <c r="A31" s="5">
        <v>28</v>
      </c>
      <c r="B31" s="5">
        <f>Inputs!$C$4+A31-1</f>
      </c>
      <c r="C31" s="6">
        <f>I30</f>
      </c>
      <c r="D31" s="6">
        <f>IF(B31&lt;Inputs!$C$5,Inputs!$C$8*(1+Inputs!$C$9)^(A31-1),0)</f>
      </c>
      <c r="E31" s="6">
        <f>C31*IF(B31&lt;Inputs!$C$5,Inputs!$C$10,Inputs!$C$11)</f>
      </c>
      <c r="F31" s="6">
        <f>IF(B31&gt;=Inputs!$C$5,Inputs!$C$14*(1+Inputs!$C$13)^(B31-Inputs!$C$5),0)</f>
      </c>
      <c r="G31" s="6">
        <f>IF(B31&gt;=Inputs!$C$5,Inputs!$C$12*(1+Inputs!$C$13)^(B31-Inputs!$C$5),0)</f>
      </c>
      <c r="H31" s="6">
        <f>D31+E31+F31-G31</f>
      </c>
      <c r="I31" s="6">
        <f>MAX(0,C31+H31)</f>
      </c>
      <c r="J31" s="0">
        <f>IF(B31&gt;Inputs!$C$6,"",IF(I31=0,"Depleted","Funded"))</f>
      </c>
    </row>
    <row r="32">
      <c r="A32" s="5">
        <v>29</v>
      </c>
      <c r="B32" s="5">
        <f>Inputs!$C$4+A32-1</f>
      </c>
      <c r="C32" s="6">
        <f>I31</f>
      </c>
      <c r="D32" s="6">
        <f>IF(B32&lt;Inputs!$C$5,Inputs!$C$8*(1+Inputs!$C$9)^(A32-1),0)</f>
      </c>
      <c r="E32" s="6">
        <f>C32*IF(B32&lt;Inputs!$C$5,Inputs!$C$10,Inputs!$C$11)</f>
      </c>
      <c r="F32" s="6">
        <f>IF(B32&gt;=Inputs!$C$5,Inputs!$C$14*(1+Inputs!$C$13)^(B32-Inputs!$C$5),0)</f>
      </c>
      <c r="G32" s="6">
        <f>IF(B32&gt;=Inputs!$C$5,Inputs!$C$12*(1+Inputs!$C$13)^(B32-Inputs!$C$5),0)</f>
      </c>
      <c r="H32" s="6">
        <f>D32+E32+F32-G32</f>
      </c>
      <c r="I32" s="6">
        <f>MAX(0,C32+H32)</f>
      </c>
      <c r="J32" s="0">
        <f>IF(B32&gt;Inputs!$C$6,"",IF(I32=0,"Depleted","Funded"))</f>
      </c>
    </row>
    <row r="33">
      <c r="A33" s="5">
        <v>30</v>
      </c>
      <c r="B33" s="5">
        <f>Inputs!$C$4+A33-1</f>
      </c>
      <c r="C33" s="6">
        <f>I32</f>
      </c>
      <c r="D33" s="6">
        <f>IF(B33&lt;Inputs!$C$5,Inputs!$C$8*(1+Inputs!$C$9)^(A33-1),0)</f>
      </c>
      <c r="E33" s="6">
        <f>C33*IF(B33&lt;Inputs!$C$5,Inputs!$C$10,Inputs!$C$11)</f>
      </c>
      <c r="F33" s="6">
        <f>IF(B33&gt;=Inputs!$C$5,Inputs!$C$14*(1+Inputs!$C$13)^(B33-Inputs!$C$5),0)</f>
      </c>
      <c r="G33" s="6">
        <f>IF(B33&gt;=Inputs!$C$5,Inputs!$C$12*(1+Inputs!$C$13)^(B33-Inputs!$C$5),0)</f>
      </c>
      <c r="H33" s="6">
        <f>D33+E33+F33-G33</f>
      </c>
      <c r="I33" s="6">
        <f>MAX(0,C33+H33)</f>
      </c>
      <c r="J33" s="0">
        <f>IF(B33&gt;Inputs!$C$6,"",IF(I33=0,"Depleted","Funded"))</f>
      </c>
    </row>
    <row r="34">
      <c r="A34" s="5">
        <v>31</v>
      </c>
      <c r="B34" s="5">
        <f>Inputs!$C$4+A34-1</f>
      </c>
      <c r="C34" s="6">
        <f>I33</f>
      </c>
      <c r="D34" s="6">
        <f>IF(B34&lt;Inputs!$C$5,Inputs!$C$8*(1+Inputs!$C$9)^(A34-1),0)</f>
      </c>
      <c r="E34" s="6">
        <f>C34*IF(B34&lt;Inputs!$C$5,Inputs!$C$10,Inputs!$C$11)</f>
      </c>
      <c r="F34" s="6">
        <f>IF(B34&gt;=Inputs!$C$5,Inputs!$C$14*(1+Inputs!$C$13)^(B34-Inputs!$C$5),0)</f>
      </c>
      <c r="G34" s="6">
        <f>IF(B34&gt;=Inputs!$C$5,Inputs!$C$12*(1+Inputs!$C$13)^(B34-Inputs!$C$5),0)</f>
      </c>
      <c r="H34" s="6">
        <f>D34+E34+F34-G34</f>
      </c>
      <c r="I34" s="6">
        <f>MAX(0,C34+H34)</f>
      </c>
      <c r="J34" s="0">
        <f>IF(B34&gt;Inputs!$C$6,"",IF(I34=0,"Depleted","Funded"))</f>
      </c>
    </row>
    <row r="35">
      <c r="A35" s="5">
        <v>32</v>
      </c>
      <c r="B35" s="5">
        <f>Inputs!$C$4+A35-1</f>
      </c>
      <c r="C35" s="6">
        <f>I34</f>
      </c>
      <c r="D35" s="6">
        <f>IF(B35&lt;Inputs!$C$5,Inputs!$C$8*(1+Inputs!$C$9)^(A35-1),0)</f>
      </c>
      <c r="E35" s="6">
        <f>C35*IF(B35&lt;Inputs!$C$5,Inputs!$C$10,Inputs!$C$11)</f>
      </c>
      <c r="F35" s="6">
        <f>IF(B35&gt;=Inputs!$C$5,Inputs!$C$14*(1+Inputs!$C$13)^(B35-Inputs!$C$5),0)</f>
      </c>
      <c r="G35" s="6">
        <f>IF(B35&gt;=Inputs!$C$5,Inputs!$C$12*(1+Inputs!$C$13)^(B35-Inputs!$C$5),0)</f>
      </c>
      <c r="H35" s="6">
        <f>D35+E35+F35-G35</f>
      </c>
      <c r="I35" s="6">
        <f>MAX(0,C35+H35)</f>
      </c>
      <c r="J35" s="0">
        <f>IF(B35&gt;Inputs!$C$6,"",IF(I35=0,"Depleted","Funded"))</f>
      </c>
    </row>
    <row r="36">
      <c r="A36" s="5">
        <v>33</v>
      </c>
      <c r="B36" s="5">
        <f>Inputs!$C$4+A36-1</f>
      </c>
      <c r="C36" s="6">
        <f>I35</f>
      </c>
      <c r="D36" s="6">
        <f>IF(B36&lt;Inputs!$C$5,Inputs!$C$8*(1+Inputs!$C$9)^(A36-1),0)</f>
      </c>
      <c r="E36" s="6">
        <f>C36*IF(B36&lt;Inputs!$C$5,Inputs!$C$10,Inputs!$C$11)</f>
      </c>
      <c r="F36" s="6">
        <f>IF(B36&gt;=Inputs!$C$5,Inputs!$C$14*(1+Inputs!$C$13)^(B36-Inputs!$C$5),0)</f>
      </c>
      <c r="G36" s="6">
        <f>IF(B36&gt;=Inputs!$C$5,Inputs!$C$12*(1+Inputs!$C$13)^(B36-Inputs!$C$5),0)</f>
      </c>
      <c r="H36" s="6">
        <f>D36+E36+F36-G36</f>
      </c>
      <c r="I36" s="6">
        <f>MAX(0,C36+H36)</f>
      </c>
      <c r="J36" s="0">
        <f>IF(B36&gt;Inputs!$C$6,"",IF(I36=0,"Depleted","Funded"))</f>
      </c>
    </row>
    <row r="37">
      <c r="A37" s="5">
        <v>34</v>
      </c>
      <c r="B37" s="5">
        <f>Inputs!$C$4+A37-1</f>
      </c>
      <c r="C37" s="6">
        <f>I36</f>
      </c>
      <c r="D37" s="6">
        <f>IF(B37&lt;Inputs!$C$5,Inputs!$C$8*(1+Inputs!$C$9)^(A37-1),0)</f>
      </c>
      <c r="E37" s="6">
        <f>C37*IF(B37&lt;Inputs!$C$5,Inputs!$C$10,Inputs!$C$11)</f>
      </c>
      <c r="F37" s="6">
        <f>IF(B37&gt;=Inputs!$C$5,Inputs!$C$14*(1+Inputs!$C$13)^(B37-Inputs!$C$5),0)</f>
      </c>
      <c r="G37" s="6">
        <f>IF(B37&gt;=Inputs!$C$5,Inputs!$C$12*(1+Inputs!$C$13)^(B37-Inputs!$C$5),0)</f>
      </c>
      <c r="H37" s="6">
        <f>D37+E37+F37-G37</f>
      </c>
      <c r="I37" s="6">
        <f>MAX(0,C37+H37)</f>
      </c>
      <c r="J37" s="0">
        <f>IF(B37&gt;Inputs!$C$6,"",IF(I37=0,"Depleted","Funded"))</f>
      </c>
    </row>
    <row r="38">
      <c r="A38" s="5">
        <v>35</v>
      </c>
      <c r="B38" s="5">
        <f>Inputs!$C$4+A38-1</f>
      </c>
      <c r="C38" s="6">
        <f>I37</f>
      </c>
      <c r="D38" s="6">
        <f>IF(B38&lt;Inputs!$C$5,Inputs!$C$8*(1+Inputs!$C$9)^(A38-1),0)</f>
      </c>
      <c r="E38" s="6">
        <f>C38*IF(B38&lt;Inputs!$C$5,Inputs!$C$10,Inputs!$C$11)</f>
      </c>
      <c r="F38" s="6">
        <f>IF(B38&gt;=Inputs!$C$5,Inputs!$C$14*(1+Inputs!$C$13)^(B38-Inputs!$C$5),0)</f>
      </c>
      <c r="G38" s="6">
        <f>IF(B38&gt;=Inputs!$C$5,Inputs!$C$12*(1+Inputs!$C$13)^(B38-Inputs!$C$5),0)</f>
      </c>
      <c r="H38" s="6">
        <f>D38+E38+F38-G38</f>
      </c>
      <c r="I38" s="6">
        <f>MAX(0,C38+H38)</f>
      </c>
      <c r="J38" s="0">
        <f>IF(B38&gt;Inputs!$C$6,"",IF(I38=0,"Depleted","Funded"))</f>
      </c>
    </row>
    <row r="39">
      <c r="A39" s="5">
        <v>36</v>
      </c>
      <c r="B39" s="5">
        <f>Inputs!$C$4+A39-1</f>
      </c>
      <c r="C39" s="6">
        <f>I38</f>
      </c>
      <c r="D39" s="6">
        <f>IF(B39&lt;Inputs!$C$5,Inputs!$C$8*(1+Inputs!$C$9)^(A39-1),0)</f>
      </c>
      <c r="E39" s="6">
        <f>C39*IF(B39&lt;Inputs!$C$5,Inputs!$C$10,Inputs!$C$11)</f>
      </c>
      <c r="F39" s="6">
        <f>IF(B39&gt;=Inputs!$C$5,Inputs!$C$14*(1+Inputs!$C$13)^(B39-Inputs!$C$5),0)</f>
      </c>
      <c r="G39" s="6">
        <f>IF(B39&gt;=Inputs!$C$5,Inputs!$C$12*(1+Inputs!$C$13)^(B39-Inputs!$C$5),0)</f>
      </c>
      <c r="H39" s="6">
        <f>D39+E39+F39-G39</f>
      </c>
      <c r="I39" s="6">
        <f>MAX(0,C39+H39)</f>
      </c>
      <c r="J39" s="0">
        <f>IF(B39&gt;Inputs!$C$6,"",IF(I39=0,"Depleted","Funded"))</f>
      </c>
    </row>
    <row r="40">
      <c r="A40" s="5">
        <v>37</v>
      </c>
      <c r="B40" s="5">
        <f>Inputs!$C$4+A40-1</f>
      </c>
      <c r="C40" s="6">
        <f>I39</f>
      </c>
      <c r="D40" s="6">
        <f>IF(B40&lt;Inputs!$C$5,Inputs!$C$8*(1+Inputs!$C$9)^(A40-1),0)</f>
      </c>
      <c r="E40" s="6">
        <f>C40*IF(B40&lt;Inputs!$C$5,Inputs!$C$10,Inputs!$C$11)</f>
      </c>
      <c r="F40" s="6">
        <f>IF(B40&gt;=Inputs!$C$5,Inputs!$C$14*(1+Inputs!$C$13)^(B40-Inputs!$C$5),0)</f>
      </c>
      <c r="G40" s="6">
        <f>IF(B40&gt;=Inputs!$C$5,Inputs!$C$12*(1+Inputs!$C$13)^(B40-Inputs!$C$5),0)</f>
      </c>
      <c r="H40" s="6">
        <f>D40+E40+F40-G40</f>
      </c>
      <c r="I40" s="6">
        <f>MAX(0,C40+H40)</f>
      </c>
      <c r="J40" s="0">
        <f>IF(B40&gt;Inputs!$C$6,"",IF(I40=0,"Depleted","Funded"))</f>
      </c>
    </row>
    <row r="41">
      <c r="A41" s="5">
        <v>38</v>
      </c>
      <c r="B41" s="5">
        <f>Inputs!$C$4+A41-1</f>
      </c>
      <c r="C41" s="6">
        <f>I40</f>
      </c>
      <c r="D41" s="6">
        <f>IF(B41&lt;Inputs!$C$5,Inputs!$C$8*(1+Inputs!$C$9)^(A41-1),0)</f>
      </c>
      <c r="E41" s="6">
        <f>C41*IF(B41&lt;Inputs!$C$5,Inputs!$C$10,Inputs!$C$11)</f>
      </c>
      <c r="F41" s="6">
        <f>IF(B41&gt;=Inputs!$C$5,Inputs!$C$14*(1+Inputs!$C$13)^(B41-Inputs!$C$5),0)</f>
      </c>
      <c r="G41" s="6">
        <f>IF(B41&gt;=Inputs!$C$5,Inputs!$C$12*(1+Inputs!$C$13)^(B41-Inputs!$C$5),0)</f>
      </c>
      <c r="H41" s="6">
        <f>D41+E41+F41-G41</f>
      </c>
      <c r="I41" s="6">
        <f>MAX(0,C41+H41)</f>
      </c>
      <c r="J41" s="0">
        <f>IF(B41&gt;Inputs!$C$6,"",IF(I41=0,"Depleted","Funded"))</f>
      </c>
    </row>
    <row r="42">
      <c r="A42" s="5">
        <v>39</v>
      </c>
      <c r="B42" s="5">
        <f>Inputs!$C$4+A42-1</f>
      </c>
      <c r="C42" s="6">
        <f>I41</f>
      </c>
      <c r="D42" s="6">
        <f>IF(B42&lt;Inputs!$C$5,Inputs!$C$8*(1+Inputs!$C$9)^(A42-1),0)</f>
      </c>
      <c r="E42" s="6">
        <f>C42*IF(B42&lt;Inputs!$C$5,Inputs!$C$10,Inputs!$C$11)</f>
      </c>
      <c r="F42" s="6">
        <f>IF(B42&gt;=Inputs!$C$5,Inputs!$C$14*(1+Inputs!$C$13)^(B42-Inputs!$C$5),0)</f>
      </c>
      <c r="G42" s="6">
        <f>IF(B42&gt;=Inputs!$C$5,Inputs!$C$12*(1+Inputs!$C$13)^(B42-Inputs!$C$5),0)</f>
      </c>
      <c r="H42" s="6">
        <f>D42+E42+F42-G42</f>
      </c>
      <c r="I42" s="6">
        <f>MAX(0,C42+H42)</f>
      </c>
      <c r="J42" s="0">
        <f>IF(B42&gt;Inputs!$C$6,"",IF(I42=0,"Depleted","Funded"))</f>
      </c>
    </row>
    <row r="43">
      <c r="A43" s="5">
        <v>40</v>
      </c>
      <c r="B43" s="5">
        <f>Inputs!$C$4+A43-1</f>
      </c>
      <c r="C43" s="6">
        <f>I42</f>
      </c>
      <c r="D43" s="6">
        <f>IF(B43&lt;Inputs!$C$5,Inputs!$C$8*(1+Inputs!$C$9)^(A43-1),0)</f>
      </c>
      <c r="E43" s="6">
        <f>C43*IF(B43&lt;Inputs!$C$5,Inputs!$C$10,Inputs!$C$11)</f>
      </c>
      <c r="F43" s="6">
        <f>IF(B43&gt;=Inputs!$C$5,Inputs!$C$14*(1+Inputs!$C$13)^(B43-Inputs!$C$5),0)</f>
      </c>
      <c r="G43" s="6">
        <f>IF(B43&gt;=Inputs!$C$5,Inputs!$C$12*(1+Inputs!$C$13)^(B43-Inputs!$C$5),0)</f>
      </c>
      <c r="H43" s="6">
        <f>D43+E43+F43-G43</f>
      </c>
      <c r="I43" s="6">
        <f>MAX(0,C43+H43)</f>
      </c>
      <c r="J43" s="0">
        <f>IF(B43&gt;Inputs!$C$6,"",IF(I43=0,"Depleted","Funded"))</f>
      </c>
    </row>
    <row r="44">
      <c r="A44" s="5">
        <v>41</v>
      </c>
      <c r="B44" s="5">
        <f>Inputs!$C$4+A44-1</f>
      </c>
      <c r="C44" s="6">
        <f>I43</f>
      </c>
      <c r="D44" s="6">
        <f>IF(B44&lt;Inputs!$C$5,Inputs!$C$8*(1+Inputs!$C$9)^(A44-1),0)</f>
      </c>
      <c r="E44" s="6">
        <f>C44*IF(B44&lt;Inputs!$C$5,Inputs!$C$10,Inputs!$C$11)</f>
      </c>
      <c r="F44" s="6">
        <f>IF(B44&gt;=Inputs!$C$5,Inputs!$C$14*(1+Inputs!$C$13)^(B44-Inputs!$C$5),0)</f>
      </c>
      <c r="G44" s="6">
        <f>IF(B44&gt;=Inputs!$C$5,Inputs!$C$12*(1+Inputs!$C$13)^(B44-Inputs!$C$5),0)</f>
      </c>
      <c r="H44" s="6">
        <f>D44+E44+F44-G44</f>
      </c>
      <c r="I44" s="6">
        <f>MAX(0,C44+H44)</f>
      </c>
      <c r="J44" s="0">
        <f>IF(B44&gt;Inputs!$C$6,"",IF(I44=0,"Depleted","Funded"))</f>
      </c>
    </row>
    <row r="45">
      <c r="A45" s="5">
        <v>42</v>
      </c>
      <c r="B45" s="5">
        <f>Inputs!$C$4+A45-1</f>
      </c>
      <c r="C45" s="6">
        <f>I44</f>
      </c>
      <c r="D45" s="6">
        <f>IF(B45&lt;Inputs!$C$5,Inputs!$C$8*(1+Inputs!$C$9)^(A45-1),0)</f>
      </c>
      <c r="E45" s="6">
        <f>C45*IF(B45&lt;Inputs!$C$5,Inputs!$C$10,Inputs!$C$11)</f>
      </c>
      <c r="F45" s="6">
        <f>IF(B45&gt;=Inputs!$C$5,Inputs!$C$14*(1+Inputs!$C$13)^(B45-Inputs!$C$5),0)</f>
      </c>
      <c r="G45" s="6">
        <f>IF(B45&gt;=Inputs!$C$5,Inputs!$C$12*(1+Inputs!$C$13)^(B45-Inputs!$C$5),0)</f>
      </c>
      <c r="H45" s="6">
        <f>D45+E45+F45-G45</f>
      </c>
      <c r="I45" s="6">
        <f>MAX(0,C45+H45)</f>
      </c>
      <c r="J45" s="0">
        <f>IF(B45&gt;Inputs!$C$6,"",IF(I45=0,"Depleted","Funded"))</f>
      </c>
    </row>
    <row r="46">
      <c r="A46" s="5">
        <v>43</v>
      </c>
      <c r="B46" s="5">
        <f>Inputs!$C$4+A46-1</f>
      </c>
      <c r="C46" s="6">
        <f>I45</f>
      </c>
      <c r="D46" s="6">
        <f>IF(B46&lt;Inputs!$C$5,Inputs!$C$8*(1+Inputs!$C$9)^(A46-1),0)</f>
      </c>
      <c r="E46" s="6">
        <f>C46*IF(B46&lt;Inputs!$C$5,Inputs!$C$10,Inputs!$C$11)</f>
      </c>
      <c r="F46" s="6">
        <f>IF(B46&gt;=Inputs!$C$5,Inputs!$C$14*(1+Inputs!$C$13)^(B46-Inputs!$C$5),0)</f>
      </c>
      <c r="G46" s="6">
        <f>IF(B46&gt;=Inputs!$C$5,Inputs!$C$12*(1+Inputs!$C$13)^(B46-Inputs!$C$5),0)</f>
      </c>
      <c r="H46" s="6">
        <f>D46+E46+F46-G46</f>
      </c>
      <c r="I46" s="6">
        <f>MAX(0,C46+H46)</f>
      </c>
      <c r="J46" s="0">
        <f>IF(B46&gt;Inputs!$C$6,"",IF(I46=0,"Depleted","Funded"))</f>
      </c>
    </row>
    <row r="47">
      <c r="A47" s="5">
        <v>44</v>
      </c>
      <c r="B47" s="5">
        <f>Inputs!$C$4+A47-1</f>
      </c>
      <c r="C47" s="6">
        <f>I46</f>
      </c>
      <c r="D47" s="6">
        <f>IF(B47&lt;Inputs!$C$5,Inputs!$C$8*(1+Inputs!$C$9)^(A47-1),0)</f>
      </c>
      <c r="E47" s="6">
        <f>C47*IF(B47&lt;Inputs!$C$5,Inputs!$C$10,Inputs!$C$11)</f>
      </c>
      <c r="F47" s="6">
        <f>IF(B47&gt;=Inputs!$C$5,Inputs!$C$14*(1+Inputs!$C$13)^(B47-Inputs!$C$5),0)</f>
      </c>
      <c r="G47" s="6">
        <f>IF(B47&gt;=Inputs!$C$5,Inputs!$C$12*(1+Inputs!$C$13)^(B47-Inputs!$C$5),0)</f>
      </c>
      <c r="H47" s="6">
        <f>D47+E47+F47-G47</f>
      </c>
      <c r="I47" s="6">
        <f>MAX(0,C47+H47)</f>
      </c>
      <c r="J47" s="0">
        <f>IF(B47&gt;Inputs!$C$6,"",IF(I47=0,"Depleted","Funded"))</f>
      </c>
    </row>
    <row r="48">
      <c r="A48" s="5">
        <v>45</v>
      </c>
      <c r="B48" s="5">
        <f>Inputs!$C$4+A48-1</f>
      </c>
      <c r="C48" s="6">
        <f>I47</f>
      </c>
      <c r="D48" s="6">
        <f>IF(B48&lt;Inputs!$C$5,Inputs!$C$8*(1+Inputs!$C$9)^(A48-1),0)</f>
      </c>
      <c r="E48" s="6">
        <f>C48*IF(B48&lt;Inputs!$C$5,Inputs!$C$10,Inputs!$C$11)</f>
      </c>
      <c r="F48" s="6">
        <f>IF(B48&gt;=Inputs!$C$5,Inputs!$C$14*(1+Inputs!$C$13)^(B48-Inputs!$C$5),0)</f>
      </c>
      <c r="G48" s="6">
        <f>IF(B48&gt;=Inputs!$C$5,Inputs!$C$12*(1+Inputs!$C$13)^(B48-Inputs!$C$5),0)</f>
      </c>
      <c r="H48" s="6">
        <f>D48+E48+F48-G48</f>
      </c>
      <c r="I48" s="6">
        <f>MAX(0,C48+H48)</f>
      </c>
      <c r="J48" s="0">
        <f>IF(B48&gt;Inputs!$C$6,"",IF(I48=0,"Depleted","Funded"))</f>
      </c>
    </row>
    <row r="49">
      <c r="A49" s="5">
        <v>46</v>
      </c>
      <c r="B49" s="5">
        <f>Inputs!$C$4+A49-1</f>
      </c>
      <c r="C49" s="6">
        <f>I48</f>
      </c>
      <c r="D49" s="6">
        <f>IF(B49&lt;Inputs!$C$5,Inputs!$C$8*(1+Inputs!$C$9)^(A49-1),0)</f>
      </c>
      <c r="E49" s="6">
        <f>C49*IF(B49&lt;Inputs!$C$5,Inputs!$C$10,Inputs!$C$11)</f>
      </c>
      <c r="F49" s="6">
        <f>IF(B49&gt;=Inputs!$C$5,Inputs!$C$14*(1+Inputs!$C$13)^(B49-Inputs!$C$5),0)</f>
      </c>
      <c r="G49" s="6">
        <f>IF(B49&gt;=Inputs!$C$5,Inputs!$C$12*(1+Inputs!$C$13)^(B49-Inputs!$C$5),0)</f>
      </c>
      <c r="H49" s="6">
        <f>D49+E49+F49-G49</f>
      </c>
      <c r="I49" s="6">
        <f>MAX(0,C49+H49)</f>
      </c>
      <c r="J49" s="0">
        <f>IF(B49&gt;Inputs!$C$6,"",IF(I49=0,"Depleted","Funded"))</f>
      </c>
    </row>
    <row r="50">
      <c r="A50" s="5">
        <v>47</v>
      </c>
      <c r="B50" s="5">
        <f>Inputs!$C$4+A50-1</f>
      </c>
      <c r="C50" s="6">
        <f>I49</f>
      </c>
      <c r="D50" s="6">
        <f>IF(B50&lt;Inputs!$C$5,Inputs!$C$8*(1+Inputs!$C$9)^(A50-1),0)</f>
      </c>
      <c r="E50" s="6">
        <f>C50*IF(B50&lt;Inputs!$C$5,Inputs!$C$10,Inputs!$C$11)</f>
      </c>
      <c r="F50" s="6">
        <f>IF(B50&gt;=Inputs!$C$5,Inputs!$C$14*(1+Inputs!$C$13)^(B50-Inputs!$C$5),0)</f>
      </c>
      <c r="G50" s="6">
        <f>IF(B50&gt;=Inputs!$C$5,Inputs!$C$12*(1+Inputs!$C$13)^(B50-Inputs!$C$5),0)</f>
      </c>
      <c r="H50" s="6">
        <f>D50+E50+F50-G50</f>
      </c>
      <c r="I50" s="6">
        <f>MAX(0,C50+H50)</f>
      </c>
      <c r="J50" s="0">
        <f>IF(B50&gt;Inputs!$C$6,"",IF(I50=0,"Depleted","Funded"))</f>
      </c>
    </row>
    <row r="51">
      <c r="A51" s="5">
        <v>48</v>
      </c>
      <c r="B51" s="5">
        <f>Inputs!$C$4+A51-1</f>
      </c>
      <c r="C51" s="6">
        <f>I50</f>
      </c>
      <c r="D51" s="6">
        <f>IF(B51&lt;Inputs!$C$5,Inputs!$C$8*(1+Inputs!$C$9)^(A51-1),0)</f>
      </c>
      <c r="E51" s="6">
        <f>C51*IF(B51&lt;Inputs!$C$5,Inputs!$C$10,Inputs!$C$11)</f>
      </c>
      <c r="F51" s="6">
        <f>IF(B51&gt;=Inputs!$C$5,Inputs!$C$14*(1+Inputs!$C$13)^(B51-Inputs!$C$5),0)</f>
      </c>
      <c r="G51" s="6">
        <f>IF(B51&gt;=Inputs!$C$5,Inputs!$C$12*(1+Inputs!$C$13)^(B51-Inputs!$C$5),0)</f>
      </c>
      <c r="H51" s="6">
        <f>D51+E51+F51-G51</f>
      </c>
      <c r="I51" s="6">
        <f>MAX(0,C51+H51)</f>
      </c>
      <c r="J51" s="0">
        <f>IF(B51&gt;Inputs!$C$6,"",IF(I51=0,"Depleted","Funded"))</f>
      </c>
    </row>
    <row r="52">
      <c r="A52" s="5">
        <v>49</v>
      </c>
      <c r="B52" s="5">
        <f>Inputs!$C$4+A52-1</f>
      </c>
      <c r="C52" s="6">
        <f>I51</f>
      </c>
      <c r="D52" s="6">
        <f>IF(B52&lt;Inputs!$C$5,Inputs!$C$8*(1+Inputs!$C$9)^(A52-1),0)</f>
      </c>
      <c r="E52" s="6">
        <f>C52*IF(B52&lt;Inputs!$C$5,Inputs!$C$10,Inputs!$C$11)</f>
      </c>
      <c r="F52" s="6">
        <f>IF(B52&gt;=Inputs!$C$5,Inputs!$C$14*(1+Inputs!$C$13)^(B52-Inputs!$C$5),0)</f>
      </c>
      <c r="G52" s="6">
        <f>IF(B52&gt;=Inputs!$C$5,Inputs!$C$12*(1+Inputs!$C$13)^(B52-Inputs!$C$5),0)</f>
      </c>
      <c r="H52" s="6">
        <f>D52+E52+F52-G52</f>
      </c>
      <c r="I52" s="6">
        <f>MAX(0,C52+H52)</f>
      </c>
      <c r="J52" s="0">
        <f>IF(B52&gt;Inputs!$C$6,"",IF(I52=0,"Depleted","Funded"))</f>
      </c>
    </row>
    <row r="53">
      <c r="A53" s="5">
        <v>50</v>
      </c>
      <c r="B53" s="5">
        <f>Inputs!$C$4+A53-1</f>
      </c>
      <c r="C53" s="6">
        <f>I52</f>
      </c>
      <c r="D53" s="6">
        <f>IF(B53&lt;Inputs!$C$5,Inputs!$C$8*(1+Inputs!$C$9)^(A53-1),0)</f>
      </c>
      <c r="E53" s="6">
        <f>C53*IF(B53&lt;Inputs!$C$5,Inputs!$C$10,Inputs!$C$11)</f>
      </c>
      <c r="F53" s="6">
        <f>IF(B53&gt;=Inputs!$C$5,Inputs!$C$14*(1+Inputs!$C$13)^(B53-Inputs!$C$5),0)</f>
      </c>
      <c r="G53" s="6">
        <f>IF(B53&gt;=Inputs!$C$5,Inputs!$C$12*(1+Inputs!$C$13)^(B53-Inputs!$C$5),0)</f>
      </c>
      <c r="H53" s="6">
        <f>D53+E53+F53-G53</f>
      </c>
      <c r="I53" s="6">
        <f>MAX(0,C53+H53)</f>
      </c>
      <c r="J53" s="0">
        <f>IF(B53&gt;Inputs!$C$6,"",IF(I53=0,"Depleted","Funded"))</f>
      </c>
    </row>
    <row r="54">
      <c r="A54" s="5">
        <v>51</v>
      </c>
      <c r="B54" s="5">
        <f>Inputs!$C$4+A54-1</f>
      </c>
      <c r="C54" s="6">
        <f>I53</f>
      </c>
      <c r="D54" s="6">
        <f>IF(B54&lt;Inputs!$C$5,Inputs!$C$8*(1+Inputs!$C$9)^(A54-1),0)</f>
      </c>
      <c r="E54" s="6">
        <f>C54*IF(B54&lt;Inputs!$C$5,Inputs!$C$10,Inputs!$C$11)</f>
      </c>
      <c r="F54" s="6">
        <f>IF(B54&gt;=Inputs!$C$5,Inputs!$C$14*(1+Inputs!$C$13)^(B54-Inputs!$C$5),0)</f>
      </c>
      <c r="G54" s="6">
        <f>IF(B54&gt;=Inputs!$C$5,Inputs!$C$12*(1+Inputs!$C$13)^(B54-Inputs!$C$5),0)</f>
      </c>
      <c r="H54" s="6">
        <f>D54+E54+F54-G54</f>
      </c>
      <c r="I54" s="6">
        <f>MAX(0,C54+H54)</f>
      </c>
      <c r="J54" s="0">
        <f>IF(B54&gt;Inputs!$C$6,"",IF(I54=0,"Depleted","Funded"))</f>
      </c>
    </row>
    <row r="55">
      <c r="A55" s="5">
        <v>52</v>
      </c>
      <c r="B55" s="5">
        <f>Inputs!$C$4+A55-1</f>
      </c>
      <c r="C55" s="6">
        <f>I54</f>
      </c>
      <c r="D55" s="6">
        <f>IF(B55&lt;Inputs!$C$5,Inputs!$C$8*(1+Inputs!$C$9)^(A55-1),0)</f>
      </c>
      <c r="E55" s="6">
        <f>C55*IF(B55&lt;Inputs!$C$5,Inputs!$C$10,Inputs!$C$11)</f>
      </c>
      <c r="F55" s="6">
        <f>IF(B55&gt;=Inputs!$C$5,Inputs!$C$14*(1+Inputs!$C$13)^(B55-Inputs!$C$5),0)</f>
      </c>
      <c r="G55" s="6">
        <f>IF(B55&gt;=Inputs!$C$5,Inputs!$C$12*(1+Inputs!$C$13)^(B55-Inputs!$C$5),0)</f>
      </c>
      <c r="H55" s="6">
        <f>D55+E55+F55-G55</f>
      </c>
      <c r="I55" s="6">
        <f>MAX(0,C55+H55)</f>
      </c>
      <c r="J55" s="0">
        <f>IF(B55&gt;Inputs!$C$6,"",IF(I55=0,"Depleted","Funded"))</f>
      </c>
    </row>
    <row r="56">
      <c r="A56" s="5">
        <v>53</v>
      </c>
      <c r="B56" s="5">
        <f>Inputs!$C$4+A56-1</f>
      </c>
      <c r="C56" s="6">
        <f>I55</f>
      </c>
      <c r="D56" s="6">
        <f>IF(B56&lt;Inputs!$C$5,Inputs!$C$8*(1+Inputs!$C$9)^(A56-1),0)</f>
      </c>
      <c r="E56" s="6">
        <f>C56*IF(B56&lt;Inputs!$C$5,Inputs!$C$10,Inputs!$C$11)</f>
      </c>
      <c r="F56" s="6">
        <f>IF(B56&gt;=Inputs!$C$5,Inputs!$C$14*(1+Inputs!$C$13)^(B56-Inputs!$C$5),0)</f>
      </c>
      <c r="G56" s="6">
        <f>IF(B56&gt;=Inputs!$C$5,Inputs!$C$12*(1+Inputs!$C$13)^(B56-Inputs!$C$5),0)</f>
      </c>
      <c r="H56" s="6">
        <f>D56+E56+F56-G56</f>
      </c>
      <c r="I56" s="6">
        <f>MAX(0,C56+H56)</f>
      </c>
      <c r="J56" s="0">
        <f>IF(B56&gt;Inputs!$C$6,"",IF(I56=0,"Depleted","Funded"))</f>
      </c>
    </row>
    <row r="57">
      <c r="A57" s="5">
        <v>54</v>
      </c>
      <c r="B57" s="5">
        <f>Inputs!$C$4+A57-1</f>
      </c>
      <c r="C57" s="6">
        <f>I56</f>
      </c>
      <c r="D57" s="6">
        <f>IF(B57&lt;Inputs!$C$5,Inputs!$C$8*(1+Inputs!$C$9)^(A57-1),0)</f>
      </c>
      <c r="E57" s="6">
        <f>C57*IF(B57&lt;Inputs!$C$5,Inputs!$C$10,Inputs!$C$11)</f>
      </c>
      <c r="F57" s="6">
        <f>IF(B57&gt;=Inputs!$C$5,Inputs!$C$14*(1+Inputs!$C$13)^(B57-Inputs!$C$5),0)</f>
      </c>
      <c r="G57" s="6">
        <f>IF(B57&gt;=Inputs!$C$5,Inputs!$C$12*(1+Inputs!$C$13)^(B57-Inputs!$C$5),0)</f>
      </c>
      <c r="H57" s="6">
        <f>D57+E57+F57-G57</f>
      </c>
      <c r="I57" s="6">
        <f>MAX(0,C57+H57)</f>
      </c>
      <c r="J57" s="0">
        <f>IF(B57&gt;Inputs!$C$6,"",IF(I57=0,"Depleted","Funded"))</f>
      </c>
    </row>
    <row r="58">
      <c r="A58" s="5">
        <v>55</v>
      </c>
      <c r="B58" s="5">
        <f>Inputs!$C$4+A58-1</f>
      </c>
      <c r="C58" s="6">
        <f>I57</f>
      </c>
      <c r="D58" s="6">
        <f>IF(B58&lt;Inputs!$C$5,Inputs!$C$8*(1+Inputs!$C$9)^(A58-1),0)</f>
      </c>
      <c r="E58" s="6">
        <f>C58*IF(B58&lt;Inputs!$C$5,Inputs!$C$10,Inputs!$C$11)</f>
      </c>
      <c r="F58" s="6">
        <f>IF(B58&gt;=Inputs!$C$5,Inputs!$C$14*(1+Inputs!$C$13)^(B58-Inputs!$C$5),0)</f>
      </c>
      <c r="G58" s="6">
        <f>IF(B58&gt;=Inputs!$C$5,Inputs!$C$12*(1+Inputs!$C$13)^(B58-Inputs!$C$5),0)</f>
      </c>
      <c r="H58" s="6">
        <f>D58+E58+F58-G58</f>
      </c>
      <c r="I58" s="6">
        <f>MAX(0,C58+H58)</f>
      </c>
      <c r="J58" s="0">
        <f>IF(B58&gt;Inputs!$C$6,"",IF(I58=0,"Depleted","Funded"))</f>
      </c>
    </row>
    <row r="59">
      <c r="A59" s="5">
        <v>56</v>
      </c>
      <c r="B59" s="5">
        <f>Inputs!$C$4+A59-1</f>
      </c>
      <c r="C59" s="6">
        <f>I58</f>
      </c>
      <c r="D59" s="6">
        <f>IF(B59&lt;Inputs!$C$5,Inputs!$C$8*(1+Inputs!$C$9)^(A59-1),0)</f>
      </c>
      <c r="E59" s="6">
        <f>C59*IF(B59&lt;Inputs!$C$5,Inputs!$C$10,Inputs!$C$11)</f>
      </c>
      <c r="F59" s="6">
        <f>IF(B59&gt;=Inputs!$C$5,Inputs!$C$14*(1+Inputs!$C$13)^(B59-Inputs!$C$5),0)</f>
      </c>
      <c r="G59" s="6">
        <f>IF(B59&gt;=Inputs!$C$5,Inputs!$C$12*(1+Inputs!$C$13)^(B59-Inputs!$C$5),0)</f>
      </c>
      <c r="H59" s="6">
        <f>D59+E59+F59-G59</f>
      </c>
      <c r="I59" s="6">
        <f>MAX(0,C59+H59)</f>
      </c>
      <c r="J59" s="0">
        <f>IF(B59&gt;Inputs!$C$6,"",IF(I59=0,"Depleted","Funded"))</f>
      </c>
    </row>
    <row r="60">
      <c r="A60" s="5">
        <v>57</v>
      </c>
      <c r="B60" s="5">
        <f>Inputs!$C$4+A60-1</f>
      </c>
      <c r="C60" s="6">
        <f>I59</f>
      </c>
      <c r="D60" s="6">
        <f>IF(B60&lt;Inputs!$C$5,Inputs!$C$8*(1+Inputs!$C$9)^(A60-1),0)</f>
      </c>
      <c r="E60" s="6">
        <f>C60*IF(B60&lt;Inputs!$C$5,Inputs!$C$10,Inputs!$C$11)</f>
      </c>
      <c r="F60" s="6">
        <f>IF(B60&gt;=Inputs!$C$5,Inputs!$C$14*(1+Inputs!$C$13)^(B60-Inputs!$C$5),0)</f>
      </c>
      <c r="G60" s="6">
        <f>IF(B60&gt;=Inputs!$C$5,Inputs!$C$12*(1+Inputs!$C$13)^(B60-Inputs!$C$5),0)</f>
      </c>
      <c r="H60" s="6">
        <f>D60+E60+F60-G60</f>
      </c>
      <c r="I60" s="6">
        <f>MAX(0,C60+H60)</f>
      </c>
      <c r="J60" s="0">
        <f>IF(B60&gt;Inputs!$C$6,"",IF(I60=0,"Depleted","Funded"))</f>
      </c>
    </row>
    <row r="61">
      <c r="A61" s="5">
        <v>58</v>
      </c>
      <c r="B61" s="5">
        <f>Inputs!$C$4+A61-1</f>
      </c>
      <c r="C61" s="6">
        <f>I60</f>
      </c>
      <c r="D61" s="6">
        <f>IF(B61&lt;Inputs!$C$5,Inputs!$C$8*(1+Inputs!$C$9)^(A61-1),0)</f>
      </c>
      <c r="E61" s="6">
        <f>C61*IF(B61&lt;Inputs!$C$5,Inputs!$C$10,Inputs!$C$11)</f>
      </c>
      <c r="F61" s="6">
        <f>IF(B61&gt;=Inputs!$C$5,Inputs!$C$14*(1+Inputs!$C$13)^(B61-Inputs!$C$5),0)</f>
      </c>
      <c r="G61" s="6">
        <f>IF(B61&gt;=Inputs!$C$5,Inputs!$C$12*(1+Inputs!$C$13)^(B61-Inputs!$C$5),0)</f>
      </c>
      <c r="H61" s="6">
        <f>D61+E61+F61-G61</f>
      </c>
      <c r="I61" s="6">
        <f>MAX(0,C61+H61)</f>
      </c>
      <c r="J61" s="0">
        <f>IF(B61&gt;Inputs!$C$6,"",IF(I61=0,"Depleted","Funded"))</f>
      </c>
    </row>
    <row r="62">
      <c r="A62" s="5">
        <v>59</v>
      </c>
      <c r="B62" s="5">
        <f>Inputs!$C$4+A62-1</f>
      </c>
      <c r="C62" s="6">
        <f>I61</f>
      </c>
      <c r="D62" s="6">
        <f>IF(B62&lt;Inputs!$C$5,Inputs!$C$8*(1+Inputs!$C$9)^(A62-1),0)</f>
      </c>
      <c r="E62" s="6">
        <f>C62*IF(B62&lt;Inputs!$C$5,Inputs!$C$10,Inputs!$C$11)</f>
      </c>
      <c r="F62" s="6">
        <f>IF(B62&gt;=Inputs!$C$5,Inputs!$C$14*(1+Inputs!$C$13)^(B62-Inputs!$C$5),0)</f>
      </c>
      <c r="G62" s="6">
        <f>IF(B62&gt;=Inputs!$C$5,Inputs!$C$12*(1+Inputs!$C$13)^(B62-Inputs!$C$5),0)</f>
      </c>
      <c r="H62" s="6">
        <f>D62+E62+F62-G62</f>
      </c>
      <c r="I62" s="6">
        <f>MAX(0,C62+H62)</f>
      </c>
      <c r="J62" s="0">
        <f>IF(B62&gt;Inputs!$C$6,"",IF(I62=0,"Depleted","Funded"))</f>
      </c>
    </row>
    <row r="63">
      <c r="A63" s="5">
        <v>60</v>
      </c>
      <c r="B63" s="5">
        <f>Inputs!$C$4+A63-1</f>
      </c>
      <c r="C63" s="6">
        <f>I62</f>
      </c>
      <c r="D63" s="6">
        <f>IF(B63&lt;Inputs!$C$5,Inputs!$C$8*(1+Inputs!$C$9)^(A63-1),0)</f>
      </c>
      <c r="E63" s="6">
        <f>C63*IF(B63&lt;Inputs!$C$5,Inputs!$C$10,Inputs!$C$11)</f>
      </c>
      <c r="F63" s="6">
        <f>IF(B63&gt;=Inputs!$C$5,Inputs!$C$14*(1+Inputs!$C$13)^(B63-Inputs!$C$5),0)</f>
      </c>
      <c r="G63" s="6">
        <f>IF(B63&gt;=Inputs!$C$5,Inputs!$C$12*(1+Inputs!$C$13)^(B63-Inputs!$C$5),0)</f>
      </c>
      <c r="H63" s="6">
        <f>D63+E63+F63-G63</f>
      </c>
      <c r="I63" s="6">
        <f>MAX(0,C63+H63)</f>
      </c>
      <c r="J63" s="0">
        <f>IF(B63&gt;Inputs!$C$6,"",IF(I63=0,"Depleted","Funded"))</f>
      </c>
    </row>
    <row r="64">
      <c r="A64" s="5">
        <v>61</v>
      </c>
      <c r="B64" s="5">
        <f>Inputs!$C$4+A64-1</f>
      </c>
      <c r="C64" s="6">
        <f>I63</f>
      </c>
      <c r="D64" s="6">
        <f>IF(B64&lt;Inputs!$C$5,Inputs!$C$8*(1+Inputs!$C$9)^(A64-1),0)</f>
      </c>
      <c r="E64" s="6">
        <f>C64*IF(B64&lt;Inputs!$C$5,Inputs!$C$10,Inputs!$C$11)</f>
      </c>
      <c r="F64" s="6">
        <f>IF(B64&gt;=Inputs!$C$5,Inputs!$C$14*(1+Inputs!$C$13)^(B64-Inputs!$C$5),0)</f>
      </c>
      <c r="G64" s="6">
        <f>IF(B64&gt;=Inputs!$C$5,Inputs!$C$12*(1+Inputs!$C$13)^(B64-Inputs!$C$5),0)</f>
      </c>
      <c r="H64" s="6">
        <f>D64+E64+F64-G64</f>
      </c>
      <c r="I64" s="6">
        <f>MAX(0,C64+H64)</f>
      </c>
      <c r="J64" s="0">
        <f>IF(B64&gt;Inputs!$C$6,"",IF(I64=0,"Depleted","Funded"))</f>
      </c>
    </row>
    <row r="65">
      <c r="A65" s="5">
        <v>62</v>
      </c>
      <c r="B65" s="5">
        <f>Inputs!$C$4+A65-1</f>
      </c>
      <c r="C65" s="6">
        <f>I64</f>
      </c>
      <c r="D65" s="6">
        <f>IF(B65&lt;Inputs!$C$5,Inputs!$C$8*(1+Inputs!$C$9)^(A65-1),0)</f>
      </c>
      <c r="E65" s="6">
        <f>C65*IF(B65&lt;Inputs!$C$5,Inputs!$C$10,Inputs!$C$11)</f>
      </c>
      <c r="F65" s="6">
        <f>IF(B65&gt;=Inputs!$C$5,Inputs!$C$14*(1+Inputs!$C$13)^(B65-Inputs!$C$5),0)</f>
      </c>
      <c r="G65" s="6">
        <f>IF(B65&gt;=Inputs!$C$5,Inputs!$C$12*(1+Inputs!$C$13)^(B65-Inputs!$C$5),0)</f>
      </c>
      <c r="H65" s="6">
        <f>D65+E65+F65-G65</f>
      </c>
      <c r="I65" s="6">
        <f>MAX(0,C65+H65)</f>
      </c>
      <c r="J65" s="0">
        <f>IF(B65&gt;Inputs!$C$6,"",IF(I65=0,"Depleted","Funded"))</f>
      </c>
    </row>
    <row r="66">
      <c r="A66" s="5">
        <v>63</v>
      </c>
      <c r="B66" s="5">
        <f>Inputs!$C$4+A66-1</f>
      </c>
      <c r="C66" s="6">
        <f>I65</f>
      </c>
      <c r="D66" s="6">
        <f>IF(B66&lt;Inputs!$C$5,Inputs!$C$8*(1+Inputs!$C$9)^(A66-1),0)</f>
      </c>
      <c r="E66" s="6">
        <f>C66*IF(B66&lt;Inputs!$C$5,Inputs!$C$10,Inputs!$C$11)</f>
      </c>
      <c r="F66" s="6">
        <f>IF(B66&gt;=Inputs!$C$5,Inputs!$C$14*(1+Inputs!$C$13)^(B66-Inputs!$C$5),0)</f>
      </c>
      <c r="G66" s="6">
        <f>IF(B66&gt;=Inputs!$C$5,Inputs!$C$12*(1+Inputs!$C$13)^(B66-Inputs!$C$5),0)</f>
      </c>
      <c r="H66" s="6">
        <f>D66+E66+F66-G66</f>
      </c>
      <c r="I66" s="6">
        <f>MAX(0,C66+H66)</f>
      </c>
      <c r="J66" s="0">
        <f>IF(B66&gt;Inputs!$C$6,"",IF(I66=0,"Depleted","Funded"))</f>
      </c>
    </row>
    <row r="67">
      <c r="A67" s="5">
        <v>64</v>
      </c>
      <c r="B67" s="5">
        <f>Inputs!$C$4+A67-1</f>
      </c>
      <c r="C67" s="6">
        <f>I66</f>
      </c>
      <c r="D67" s="6">
        <f>IF(B67&lt;Inputs!$C$5,Inputs!$C$8*(1+Inputs!$C$9)^(A67-1),0)</f>
      </c>
      <c r="E67" s="6">
        <f>C67*IF(B67&lt;Inputs!$C$5,Inputs!$C$10,Inputs!$C$11)</f>
      </c>
      <c r="F67" s="6">
        <f>IF(B67&gt;=Inputs!$C$5,Inputs!$C$14*(1+Inputs!$C$13)^(B67-Inputs!$C$5),0)</f>
      </c>
      <c r="G67" s="6">
        <f>IF(B67&gt;=Inputs!$C$5,Inputs!$C$12*(1+Inputs!$C$13)^(B67-Inputs!$C$5),0)</f>
      </c>
      <c r="H67" s="6">
        <f>D67+E67+F67-G67</f>
      </c>
      <c r="I67" s="6">
        <f>MAX(0,C67+H67)</f>
      </c>
      <c r="J67" s="0">
        <f>IF(B67&gt;Inputs!$C$6,"",IF(I67=0,"Depleted","Funded"))</f>
      </c>
    </row>
    <row r="68">
      <c r="A68" s="5">
        <v>65</v>
      </c>
      <c r="B68" s="5">
        <f>Inputs!$C$4+A68-1</f>
      </c>
      <c r="C68" s="6">
        <f>I67</f>
      </c>
      <c r="D68" s="6">
        <f>IF(B68&lt;Inputs!$C$5,Inputs!$C$8*(1+Inputs!$C$9)^(A68-1),0)</f>
      </c>
      <c r="E68" s="6">
        <f>C68*IF(B68&lt;Inputs!$C$5,Inputs!$C$10,Inputs!$C$11)</f>
      </c>
      <c r="F68" s="6">
        <f>IF(B68&gt;=Inputs!$C$5,Inputs!$C$14*(1+Inputs!$C$13)^(B68-Inputs!$C$5),0)</f>
      </c>
      <c r="G68" s="6">
        <f>IF(B68&gt;=Inputs!$C$5,Inputs!$C$12*(1+Inputs!$C$13)^(B68-Inputs!$C$5),0)</f>
      </c>
      <c r="H68" s="6">
        <f>D68+E68+F68-G68</f>
      </c>
      <c r="I68" s="6">
        <f>MAX(0,C68+H68)</f>
      </c>
      <c r="J68" s="0">
        <f>IF(B68&gt;Inputs!$C$6,"",IF(I68=0,"Depleted","Funded"))</f>
      </c>
    </row>
    <row r="69">
      <c r="A69" s="5">
        <v>66</v>
      </c>
      <c r="B69" s="5">
        <f>Inputs!$C$4+A69-1</f>
      </c>
      <c r="C69" s="6">
        <f>I68</f>
      </c>
      <c r="D69" s="6">
        <f>IF(B69&lt;Inputs!$C$5,Inputs!$C$8*(1+Inputs!$C$9)^(A69-1),0)</f>
      </c>
      <c r="E69" s="6">
        <f>C69*IF(B69&lt;Inputs!$C$5,Inputs!$C$10,Inputs!$C$11)</f>
      </c>
      <c r="F69" s="6">
        <f>IF(B69&gt;=Inputs!$C$5,Inputs!$C$14*(1+Inputs!$C$13)^(B69-Inputs!$C$5),0)</f>
      </c>
      <c r="G69" s="6">
        <f>IF(B69&gt;=Inputs!$C$5,Inputs!$C$12*(1+Inputs!$C$13)^(B69-Inputs!$C$5),0)</f>
      </c>
      <c r="H69" s="6">
        <f>D69+E69+F69-G69</f>
      </c>
      <c r="I69" s="6">
        <f>MAX(0,C69+H69)</f>
      </c>
      <c r="J69" s="0">
        <f>IF(B69&gt;Inputs!$C$6,"",IF(I69=0,"Depleted","Funded"))</f>
      </c>
    </row>
    <row r="70">
      <c r="A70" s="5">
        <v>67</v>
      </c>
      <c r="B70" s="5">
        <f>Inputs!$C$4+A70-1</f>
      </c>
      <c r="C70" s="6">
        <f>I69</f>
      </c>
      <c r="D70" s="6">
        <f>IF(B70&lt;Inputs!$C$5,Inputs!$C$8*(1+Inputs!$C$9)^(A70-1),0)</f>
      </c>
      <c r="E70" s="6">
        <f>C70*IF(B70&lt;Inputs!$C$5,Inputs!$C$10,Inputs!$C$11)</f>
      </c>
      <c r="F70" s="6">
        <f>IF(B70&gt;=Inputs!$C$5,Inputs!$C$14*(1+Inputs!$C$13)^(B70-Inputs!$C$5),0)</f>
      </c>
      <c r="G70" s="6">
        <f>IF(B70&gt;=Inputs!$C$5,Inputs!$C$12*(1+Inputs!$C$13)^(B70-Inputs!$C$5),0)</f>
      </c>
      <c r="H70" s="6">
        <f>D70+E70+F70-G70</f>
      </c>
      <c r="I70" s="6">
        <f>MAX(0,C70+H70)</f>
      </c>
      <c r="J70" s="0">
        <f>IF(B70&gt;Inputs!$C$6,"",IF(I70=0,"Depleted","Funded"))</f>
      </c>
    </row>
    <row r="71">
      <c r="A71" s="5">
        <v>68</v>
      </c>
      <c r="B71" s="5">
        <f>Inputs!$C$4+A71-1</f>
      </c>
      <c r="C71" s="6">
        <f>I70</f>
      </c>
      <c r="D71" s="6">
        <f>IF(B71&lt;Inputs!$C$5,Inputs!$C$8*(1+Inputs!$C$9)^(A71-1),0)</f>
      </c>
      <c r="E71" s="6">
        <f>C71*IF(B71&lt;Inputs!$C$5,Inputs!$C$10,Inputs!$C$11)</f>
      </c>
      <c r="F71" s="6">
        <f>IF(B71&gt;=Inputs!$C$5,Inputs!$C$14*(1+Inputs!$C$13)^(B71-Inputs!$C$5),0)</f>
      </c>
      <c r="G71" s="6">
        <f>IF(B71&gt;=Inputs!$C$5,Inputs!$C$12*(1+Inputs!$C$13)^(B71-Inputs!$C$5),0)</f>
      </c>
      <c r="H71" s="6">
        <f>D71+E71+F71-G71</f>
      </c>
      <c r="I71" s="6">
        <f>MAX(0,C71+H71)</f>
      </c>
      <c r="J71" s="0">
        <f>IF(B71&gt;Inputs!$C$6,"",IF(I71=0,"Depleted","Funded"))</f>
      </c>
    </row>
    <row r="72">
      <c r="A72" s="5">
        <v>69</v>
      </c>
      <c r="B72" s="5">
        <f>Inputs!$C$4+A72-1</f>
      </c>
      <c r="C72" s="6">
        <f>I71</f>
      </c>
      <c r="D72" s="6">
        <f>IF(B72&lt;Inputs!$C$5,Inputs!$C$8*(1+Inputs!$C$9)^(A72-1),0)</f>
      </c>
      <c r="E72" s="6">
        <f>C72*IF(B72&lt;Inputs!$C$5,Inputs!$C$10,Inputs!$C$11)</f>
      </c>
      <c r="F72" s="6">
        <f>IF(B72&gt;=Inputs!$C$5,Inputs!$C$14*(1+Inputs!$C$13)^(B72-Inputs!$C$5),0)</f>
      </c>
      <c r="G72" s="6">
        <f>IF(B72&gt;=Inputs!$C$5,Inputs!$C$12*(1+Inputs!$C$13)^(B72-Inputs!$C$5),0)</f>
      </c>
      <c r="H72" s="6">
        <f>D72+E72+F72-G72</f>
      </c>
      <c r="I72" s="6">
        <f>MAX(0,C72+H72)</f>
      </c>
      <c r="J72" s="0">
        <f>IF(B72&gt;Inputs!$C$6,"",IF(I72=0,"Depleted","Funded"))</f>
      </c>
    </row>
    <row r="73">
      <c r="A73" s="5">
        <v>70</v>
      </c>
      <c r="B73" s="5">
        <f>Inputs!$C$4+A73-1</f>
      </c>
      <c r="C73" s="6">
        <f>I72</f>
      </c>
      <c r="D73" s="6">
        <f>IF(B73&lt;Inputs!$C$5,Inputs!$C$8*(1+Inputs!$C$9)^(A73-1),0)</f>
      </c>
      <c r="E73" s="6">
        <f>C73*IF(B73&lt;Inputs!$C$5,Inputs!$C$10,Inputs!$C$11)</f>
      </c>
      <c r="F73" s="6">
        <f>IF(B73&gt;=Inputs!$C$5,Inputs!$C$14*(1+Inputs!$C$13)^(B73-Inputs!$C$5),0)</f>
      </c>
      <c r="G73" s="6">
        <f>IF(B73&gt;=Inputs!$C$5,Inputs!$C$12*(1+Inputs!$C$13)^(B73-Inputs!$C$5),0)</f>
      </c>
      <c r="H73" s="6">
        <f>D73+E73+F73-G73</f>
      </c>
      <c r="I73" s="6">
        <f>MAX(0,C73+H73)</f>
      </c>
      <c r="J73" s="0">
        <f>IF(B73&gt;Inputs!$C$6,"",IF(I73=0,"Depleted","Funded"))</f>
      </c>
    </row>
  </sheetData>
  <mergeCells count="1">
    <mergeCell ref="A1:J1"/>
  </mergeCells>
</worksheet>
</file>

<file path=xl/worksheets/sheet3.xml><?xml version="1.0" encoding="utf-8"?>
<worksheet xmlns="http://schemas.openxmlformats.org/spreadsheetml/2006/main">
  <dimension ref="A1:B10"/>
  <sheetViews>
    <sheetView workbookViewId="0">
      <pane ySplit="3" topLeftCell="A4" activePane="bottomLeft" state="frozen"/>
    </sheetView>
  </sheetViews>
  <sheetFormatPr defaultRowHeight="15"/>
  <cols>
    <col min="1" max="1" width="42" customWidth="1"/>
    <col min="2" max="2" width="26" customWidth="1"/>
  </cols>
  <sheetData>
    <row r="1">
      <c r="A1" t="inlineStr" s="11">
        <is>
          <t>Retirement Summary</t>
        </is>
      </c>
    </row>
    <row r="3">
      <c r="A3" t="inlineStr" s="1">
        <is>
          <t>Metric</t>
        </is>
      </c>
      <c r="B3" t="inlineStr" s="1">
        <is>
          <t>Value</t>
        </is>
      </c>
    </row>
    <row r="4">
      <c r="A4" t="inlineStr" s="0">
        <is>
          <t>Projected Balance at Retirement ($)</t>
        </is>
      </c>
      <c r="B4" s="8">
        <f>INDEX(Projection!I:I, MATCH(Inputs!$C$5, Projection!B:B, 0))</f>
      </c>
    </row>
    <row r="5">
      <c r="A5" t="inlineStr" s="0">
        <is>
          <t>Final Balance at Life Expectancy ($)</t>
        </is>
      </c>
      <c r="B5" s="8">
        <f>INDEX(Projection!I:I, MATCH(Inputs!$C$6, Projection!B:B, 0))</f>
      </c>
    </row>
    <row r="6">
      <c r="A6" t="inlineStr" s="0">
        <is>
          <t>First Depletion Age</t>
        </is>
      </c>
      <c r="B6" s="9">
        <f>IFERROR(INDEX(Projection!B:B,MATCH("Depleted",Projection!J:J,0)),"Not Depleted")</f>
      </c>
    </row>
    <row r="7">
      <c r="A7" t="inlineStr" s="0">
        <is>
          <t>Retirement Spending in First Year ($)</t>
        </is>
      </c>
      <c r="B7" s="8">
        <f>INDEX(Projection!G:G, MATCH(Inputs!$C$5, Projection!B:B, 0))</f>
      </c>
    </row>
    <row r="8">
      <c r="A8" t="inlineStr" s="0">
        <is>
          <t>Estimated Income Gap at Retirement ($)</t>
        </is>
      </c>
      <c r="B8" s="8">
        <f>INDEX(Projection!G:G, MATCH(Inputs!$C$5, Projection!B:B, 0))-INDEX(Projection!F:F, MATCH(Inputs!$C$5, Projection!B:B, 0))</f>
      </c>
    </row>
    <row r="10">
      <c r="A10" t="inlineStr" s="9">
        <is>
          <t>Plan Health</t>
        </is>
      </c>
      <c r="B10" s="9">
        <f>IF(B6="Not Depleted","On Track",IF(B6&gt;Inputs!$C$6,"On Track","Needs Adjustment"))</f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Retirement Planner</dc:title>
  <dc:creator>Codex</dc:creator>
</cp:coreProperties>
</file>